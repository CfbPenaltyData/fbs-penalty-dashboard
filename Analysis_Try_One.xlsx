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ENVIRONMENTALCHIMNEY\Documents\fbs_penalty_tracker\"/>
    </mc:Choice>
  </mc:AlternateContent>
  <xr:revisionPtr revIDLastSave="0" documentId="8_{64B57FC5-76FB-46A0-97F2-8421F8CB9C4A}" xr6:coauthVersionLast="47" xr6:coauthVersionMax="47" xr10:uidLastSave="{00000000-0000-0000-0000-000000000000}"/>
  <bookViews>
    <workbookView xWindow="-120" yWindow="-120" windowWidth="29040" windowHeight="15840" activeTab="3" xr2:uid="{D4E8EBE7-2EE4-4846-8C4F-2D59C8838231}"/>
  </bookViews>
  <sheets>
    <sheet name="Sheet1" sheetId="1" r:id="rId1"/>
    <sheet name="Pivot_Category_by_Conf" sheetId="4" r:id="rId2"/>
    <sheet name="Defensive Holding Advantage" sheetId="5" r:id="rId3"/>
    <sheet name="penalties_2025_FBS_with_ranking" sheetId="2" r:id="rId4"/>
    <sheet name="Dashboard Overview" sheetId="3" r:id="rId5"/>
  </sheets>
  <definedNames>
    <definedName name="ExternalData_1" localSheetId="3" hidden="1">penalties_2025_FBS_with_ranking!$A$1:$L$1421</definedName>
    <definedName name="Slicer_conference">#N/A</definedName>
    <definedName name="Slicer_Penalty_Category">#N/A</definedName>
    <definedName name="Slicer_penalty_result">#N/A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nalties_2025_FBS_with_rankings_94bd2a58-47cf-4176-936e-39ac09839418" name="penalties_2025_FBS_with_rankings" connection="Query - penalties_2025_FBS_with_ranking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9A96F1-A4C0-4CAF-8F03-ED1B8F3B86A7}" keepAlive="1" name="ModelConnection_ExternalData_1" description="Data Model" type="5" refreshedVersion="8" minRefreshableVersion="5" saveData="1">
    <dbPr connection="Data Model Connection" command="penalties_2025_FBS_with_rankings" commandType="3"/>
    <extLst>
      <ext xmlns:x15="http://schemas.microsoft.com/office/spreadsheetml/2010/11/main" uri="{DE250136-89BD-433C-8126-D09CA5730AF9}">
        <x15:connection id="" model="1"/>
      </ext>
    </extLst>
  </connection>
  <connection id="2" xr16:uid="{2E39CB9E-53E3-48BB-9339-88371F958A10}" name="Query - penalties_2025_FBS_with_rankings" description="Connection to the 'penalties_2025_FBS_with_rankings' query in the workbook." type="100" refreshedVersion="8" minRefreshableVersion="5">
    <extLst>
      <ext xmlns:x15="http://schemas.microsoft.com/office/spreadsheetml/2010/11/main" uri="{DE250136-89BD-433C-8126-D09CA5730AF9}">
        <x15:connection id="18c354ba-d094-4121-a2c9-3385701cb44f"/>
      </ext>
    </extLst>
  </connection>
  <connection id="3" xr16:uid="{5FB2535A-B2A2-4ECF-8F2D-F4D9585861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<sst xmlns="http://schemas.openxmlformats.org/spreadsheetml/2006/main" count="5711" uniqueCount="184">
  <si>
    <t>offense</t>
  </si>
  <si>
    <t>conference</t>
  </si>
  <si>
    <t>penalty_type</t>
  </si>
  <si>
    <t>total_penalties</t>
  </si>
  <si>
    <t>total_yards</t>
  </si>
  <si>
    <t>average_yards_per_penalty</t>
  </si>
  <si>
    <t>AP_Rank</t>
  </si>
  <si>
    <t>Coaches_Rank</t>
  </si>
  <si>
    <t>CFP_Rank</t>
  </si>
  <si>
    <t>Penalty_Category</t>
  </si>
  <si>
    <t>penalty_enforced</t>
  </si>
  <si>
    <t>penalty_declined_or_offset</t>
  </si>
  <si>
    <t>App State</t>
  </si>
  <si>
    <t>SBC</t>
  </si>
  <si>
    <t>False Start</t>
  </si>
  <si>
    <t>Procedural</t>
  </si>
  <si>
    <t>Arizona</t>
  </si>
  <si>
    <t>Big 12</t>
  </si>
  <si>
    <t>Arkansas</t>
  </si>
  <si>
    <t>SEC</t>
  </si>
  <si>
    <t>Ball State</t>
  </si>
  <si>
    <t>MAC</t>
  </si>
  <si>
    <t>Delay of Game</t>
  </si>
  <si>
    <t>Illegal Formation</t>
  </si>
  <si>
    <t>Baylor</t>
  </si>
  <si>
    <t>Boise State</t>
  </si>
  <si>
    <t>MWC</t>
  </si>
  <si>
    <t>Boston College</t>
  </si>
  <si>
    <t>ACC</t>
  </si>
  <si>
    <t>Bowling Green</t>
  </si>
  <si>
    <t>Buffalo</t>
  </si>
  <si>
    <t>Offside</t>
  </si>
  <si>
    <t>California</t>
  </si>
  <si>
    <t>Charlotte</t>
  </si>
  <si>
    <t>American</t>
  </si>
  <si>
    <t>Clemson</t>
  </si>
  <si>
    <t>Coastal Carolina</t>
  </si>
  <si>
    <t>Colorado</t>
  </si>
  <si>
    <t>Colorado State</t>
  </si>
  <si>
    <t>Delaware</t>
  </si>
  <si>
    <t>CUSA</t>
  </si>
  <si>
    <t>E Michigan</t>
  </si>
  <si>
    <t>FAU</t>
  </si>
  <si>
    <t>FIU</t>
  </si>
  <si>
    <t>Florida</t>
  </si>
  <si>
    <t>Florida State</t>
  </si>
  <si>
    <t>Fresno State</t>
  </si>
  <si>
    <t>Georgia Southern</t>
  </si>
  <si>
    <t>Hawai'i</t>
  </si>
  <si>
    <t>Illegal Motion</t>
  </si>
  <si>
    <t>Houston</t>
  </si>
  <si>
    <t>Illinois</t>
  </si>
  <si>
    <t>Big 10</t>
  </si>
  <si>
    <t>Iowa State</t>
  </si>
  <si>
    <t>J Madison</t>
  </si>
  <si>
    <t>Jacksonville State</t>
  </si>
  <si>
    <t>Kennesaw State</t>
  </si>
  <si>
    <t>Kentucky</t>
  </si>
  <si>
    <t>LSU</t>
  </si>
  <si>
    <t>La Tech</t>
  </si>
  <si>
    <t>Liberty</t>
  </si>
  <si>
    <t>Louisiana</t>
  </si>
  <si>
    <t>MTSU</t>
  </si>
  <si>
    <t>Marshall</t>
  </si>
  <si>
    <t>Maryland</t>
  </si>
  <si>
    <t>Memphis</t>
  </si>
  <si>
    <t>Miami (OH)</t>
  </si>
  <si>
    <t>Michigan State</t>
  </si>
  <si>
    <t>Mississippi State</t>
  </si>
  <si>
    <t>Missouri State</t>
  </si>
  <si>
    <t>N Illinois</t>
  </si>
  <si>
    <t>N Texas</t>
  </si>
  <si>
    <t>Navy</t>
  </si>
  <si>
    <t>New Mexico</t>
  </si>
  <si>
    <t>New Mexico State</t>
  </si>
  <si>
    <t>ODU</t>
  </si>
  <si>
    <t>Ohio</t>
  </si>
  <si>
    <t>Oklahoma State</t>
  </si>
  <si>
    <t>Oregon State</t>
  </si>
  <si>
    <t>Pac 12</t>
  </si>
  <si>
    <t>Penn State</t>
  </si>
  <si>
    <t>Purdue</t>
  </si>
  <si>
    <t>Rice</t>
  </si>
  <si>
    <t>Rutgers</t>
  </si>
  <si>
    <t>S Alabama</t>
  </si>
  <si>
    <t>SMU</t>
  </si>
  <si>
    <t>Sam Houston</t>
  </si>
  <si>
    <t>San Diego State</t>
  </si>
  <si>
    <t>South Carolina</t>
  </si>
  <si>
    <t>Southern Miss</t>
  </si>
  <si>
    <t>Syracuse</t>
  </si>
  <si>
    <t>TCU</t>
  </si>
  <si>
    <t>Temple</t>
  </si>
  <si>
    <t>Toledo</t>
  </si>
  <si>
    <t>Troy</t>
  </si>
  <si>
    <t>Tulane</t>
  </si>
  <si>
    <t>Tulsa</t>
  </si>
  <si>
    <t>UAB</t>
  </si>
  <si>
    <t>UCF</t>
  </si>
  <si>
    <t>UConn</t>
  </si>
  <si>
    <t>Independent</t>
  </si>
  <si>
    <t>UMass</t>
  </si>
  <si>
    <t>UNLV</t>
  </si>
  <si>
    <t>USF</t>
  </si>
  <si>
    <t>UTSA</t>
  </si>
  <si>
    <t>Utah State</t>
  </si>
  <si>
    <t>Virginia Tech</t>
  </si>
  <si>
    <t>W Michigan</t>
  </si>
  <si>
    <t>Wake Forest</t>
  </si>
  <si>
    <t>Washington State</t>
  </si>
  <si>
    <t>West Virginia</t>
  </si>
  <si>
    <t>Wisconsin</t>
  </si>
  <si>
    <t>Other / Unclassified</t>
  </si>
  <si>
    <t>Other</t>
  </si>
  <si>
    <t>Unsportsmanlike Conduct</t>
  </si>
  <si>
    <t>Personal Foul</t>
  </si>
  <si>
    <t>Kent State</t>
  </si>
  <si>
    <t>Pass Interference</t>
  </si>
  <si>
    <t>Pass/Coverage</t>
  </si>
  <si>
    <t>Minnesota</t>
  </si>
  <si>
    <t>Targeting</t>
  </si>
  <si>
    <t>NC State</t>
  </si>
  <si>
    <t>Face Mask</t>
  </si>
  <si>
    <t>Nevada</t>
  </si>
  <si>
    <t>Arkansas State</t>
  </si>
  <si>
    <t>Roughing</t>
  </si>
  <si>
    <t>Auburn</t>
  </si>
  <si>
    <t>East Carolina</t>
  </si>
  <si>
    <t>Roughing the Passer</t>
  </si>
  <si>
    <t>Holding</t>
  </si>
  <si>
    <t>Holding/Blocking</t>
  </si>
  <si>
    <t>Texas State</t>
  </si>
  <si>
    <t>WKU</t>
  </si>
  <si>
    <t>Washington</t>
  </si>
  <si>
    <t>Air Force</t>
  </si>
  <si>
    <t>Arizona State</t>
  </si>
  <si>
    <t>C Michigan</t>
  </si>
  <si>
    <t>Duke</t>
  </si>
  <si>
    <t>Kansas</t>
  </si>
  <si>
    <t>Kansas State</t>
  </si>
  <si>
    <t>Northwestern</t>
  </si>
  <si>
    <t>Stanford</t>
  </si>
  <si>
    <t>UCLA</t>
  </si>
  <si>
    <t>UTEP</t>
  </si>
  <si>
    <t>Wyoming</t>
  </si>
  <si>
    <t>Akron</t>
  </si>
  <si>
    <t>Army</t>
  </si>
  <si>
    <t>Georgia State</t>
  </si>
  <si>
    <t>Nebraska</t>
  </si>
  <si>
    <t>San Jose St</t>
  </si>
  <si>
    <t>North Carolina</t>
  </si>
  <si>
    <t>UL Monroe</t>
  </si>
  <si>
    <t>Roughing the Kicker</t>
  </si>
  <si>
    <t>Iowa</t>
  </si>
  <si>
    <t>Missouri</t>
  </si>
  <si>
    <t>Alabama</t>
  </si>
  <si>
    <t>BYU</t>
  </si>
  <si>
    <t>Cincinnati</t>
  </si>
  <si>
    <t>Georgia</t>
  </si>
  <si>
    <t>Georgia Tech</t>
  </si>
  <si>
    <t>Indiana</t>
  </si>
  <si>
    <t>Louisville</t>
  </si>
  <si>
    <t>Miami</t>
  </si>
  <si>
    <t>Michigan</t>
  </si>
  <si>
    <t>Notre Dame</t>
  </si>
  <si>
    <t>Ohio State</t>
  </si>
  <si>
    <t>Oklahoma</t>
  </si>
  <si>
    <t>Ole Miss</t>
  </si>
  <si>
    <t>Oregon</t>
  </si>
  <si>
    <t>Pittsburgh</t>
  </si>
  <si>
    <t>Tennessee</t>
  </si>
  <si>
    <t>Texas</t>
  </si>
  <si>
    <t>Texas A&amp;M</t>
  </si>
  <si>
    <t>Texas Tech</t>
  </si>
  <si>
    <t>USC</t>
  </si>
  <si>
    <t>Utah</t>
  </si>
  <si>
    <t>Vanderbilt</t>
  </si>
  <si>
    <t>Virginia</t>
  </si>
  <si>
    <t>Row Labels</t>
  </si>
  <si>
    <t>Grand Total</t>
  </si>
  <si>
    <t>Column Labels</t>
  </si>
  <si>
    <t>(All)</t>
  </si>
  <si>
    <t>Sum of total_penalties</t>
  </si>
  <si>
    <t>penalty_result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</si>
</sst>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[Analysis_Try_One.xlsx]Pivot_Category_by_Conf!PivotTable1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Penalty Types by Conference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Pivot_Category_by_Conf!$B$3:$B$4</c:f>
              <c:strCache>
                <c:ptCount val="1"/>
                <c:pt idx="0">
                  <c:v>Other</c:v>
                </c:pt>
              </c:strCache>
            </c:strRef>
          </c:tx>
          <c:spPr>
            <a:solidFill>
              <a:schemeClr val="accent1"/>
            </a:solidFill>
            <a:ln>
              <a:noFill/>
            </a:ln>
            <a:effectLst/>
          </c:spPr>
          <c:invertIfNegative val="0"/>
          <c:cat>
            <c:strRef>
              <c:f>Pivot_Category_by_Conf!$A$5:$A$9</c:f>
              <c:strCache>
                <c:ptCount val="4"/>
                <c:pt idx="0">
                  <c:v>ACC</c:v>
                </c:pt>
                <c:pt idx="1">
                  <c:v>Big 10</c:v>
                </c:pt>
                <c:pt idx="2">
                  <c:v>Big 12</c:v>
                </c:pt>
                <c:pt idx="3">
                  <c:v>SEC</c:v>
                </c:pt>
              </c:strCache>
            </c:strRef>
          </c:cat>
          <c:val>
            <c:numRef>
              <c:f>Pivot_Category_by_Conf!$B$5:$B$9</c:f>
              <c:numCache>
                <c:formatCode>General</c:formatCode>
                <c:ptCount val="4"/>
                <c:pt idx="0">
                  <c:v>199</c:v>
                </c:pt>
                <c:pt idx="1">
                  <c:v>139</c:v>
                </c:pt>
                <c:pt idx="2">
                  <c:v>170</c:v>
                </c:pt>
                <c:pt idx="3">
                  <c:v>145</c:v>
                </c:pt>
              </c:numCache>
            </c:numRef>
          </c:val>
          <c:extLst>
            <c:ext xmlns:c16="http://schemas.microsoft.com/office/drawing/2014/chart" uri="{C3380CC4-5D6E-409C-BE32-E72D297353CC}">
              <c16:uniqueId val="{00000000-DA2A-449E-BC44-BBD045E39F02}"/>
            </c:ext>
          </c:extLst>
        </c:ser>
        <c:ser>
          <c:idx val="1"/>
          <c:order val="1"/>
          <c:tx>
            <c:strRef>
              <c:f>Pivot_Category_by_Conf!$C$3:$C$4</c:f>
              <c:strCache>
                <c:ptCount val="1"/>
                <c:pt idx="0">
                  <c:v>Holding/Blocking</c:v>
                </c:pt>
              </c:strCache>
            </c:strRef>
          </c:tx>
          <c:spPr>
            <a:solidFill>
              <a:schemeClr val="accent2"/>
            </a:solidFill>
            <a:ln>
              <a:noFill/>
            </a:ln>
            <a:effectLst/>
          </c:spPr>
          <c:invertIfNegative val="0"/>
          <c:cat>
            <c:strRef>
              <c:f>Pivot_Category_by_Conf!$A$5:$A$9</c:f>
              <c:strCache>
                <c:ptCount val="4"/>
                <c:pt idx="0">
                  <c:v>ACC</c:v>
                </c:pt>
                <c:pt idx="1">
                  <c:v>Big 10</c:v>
                </c:pt>
                <c:pt idx="2">
                  <c:v>Big 12</c:v>
                </c:pt>
                <c:pt idx="3">
                  <c:v>SEC</c:v>
                </c:pt>
              </c:strCache>
            </c:strRef>
          </c:cat>
          <c:val>
            <c:numRef>
              <c:f>Pivot_Category_by_Conf!$C$5:$C$9</c:f>
              <c:numCache>
                <c:formatCode>General</c:formatCode>
                <c:ptCount val="4"/>
                <c:pt idx="0">
                  <c:v>234</c:v>
                </c:pt>
                <c:pt idx="1">
                  <c:v>145</c:v>
                </c:pt>
                <c:pt idx="2">
                  <c:v>260</c:v>
                </c:pt>
                <c:pt idx="3">
                  <c:v>247</c:v>
                </c:pt>
              </c:numCache>
            </c:numRef>
          </c:val>
          <c:extLst>
            <c:ext xmlns:c16="http://schemas.microsoft.com/office/drawing/2014/chart" uri="{C3380CC4-5D6E-409C-BE32-E72D297353CC}">
              <c16:uniqueId val="{00000001-DA2A-449E-BC44-BBD045E39F02}"/>
            </c:ext>
          </c:extLst>
        </c:ser>
        <c:ser>
          <c:idx val="2"/>
          <c:order val="2"/>
          <c:tx>
            <c:strRef>
              <c:f>Pivot_Category_by_Conf!$D$3:$D$4</c:f>
              <c:strCache>
                <c:ptCount val="1"/>
                <c:pt idx="0">
                  <c:v>Pass/Coverage</c:v>
                </c:pt>
              </c:strCache>
            </c:strRef>
          </c:tx>
          <c:spPr>
            <a:solidFill>
              <a:schemeClr val="accent3"/>
            </a:solidFill>
            <a:ln>
              <a:noFill/>
            </a:ln>
            <a:effectLst/>
          </c:spPr>
          <c:invertIfNegative val="0"/>
          <c:cat>
            <c:strRef>
              <c:f>Pivot_Category_by_Conf!$A$5:$A$9</c:f>
              <c:strCache>
                <c:ptCount val="4"/>
                <c:pt idx="0">
                  <c:v>ACC</c:v>
                </c:pt>
                <c:pt idx="1">
                  <c:v>Big 10</c:v>
                </c:pt>
                <c:pt idx="2">
                  <c:v>Big 12</c:v>
                </c:pt>
                <c:pt idx="3">
                  <c:v>SEC</c:v>
                </c:pt>
              </c:strCache>
            </c:strRef>
          </c:cat>
          <c:val>
            <c:numRef>
              <c:f>Pivot_Category_by_Conf!$D$5:$D$9</c:f>
              <c:numCache>
                <c:formatCode>General</c:formatCode>
                <c:ptCount val="4"/>
                <c:pt idx="0">
                  <c:v>122</c:v>
                </c:pt>
                <c:pt idx="1">
                  <c:v>125</c:v>
                </c:pt>
                <c:pt idx="2">
                  <c:v>141</c:v>
                </c:pt>
                <c:pt idx="3">
                  <c:v>120</c:v>
                </c:pt>
              </c:numCache>
            </c:numRef>
          </c:val>
          <c:extLst>
            <c:ext xmlns:c16="http://schemas.microsoft.com/office/drawing/2014/chart" uri="{C3380CC4-5D6E-409C-BE32-E72D297353CC}">
              <c16:uniqueId val="{00000002-DA2A-449E-BC44-BBD045E39F02}"/>
            </c:ext>
          </c:extLst>
        </c:ser>
        <c:ser>
          <c:idx val="3"/>
          <c:order val="3"/>
          <c:tx>
            <c:strRef>
              <c:f>Pivot_Category_by_Conf!$E$3:$E$4</c:f>
              <c:strCache>
                <c:ptCount val="1"/>
                <c:pt idx="0">
                  <c:v>Personal Foul</c:v>
                </c:pt>
              </c:strCache>
            </c:strRef>
          </c:tx>
          <c:spPr>
            <a:solidFill>
              <a:schemeClr val="accent4"/>
            </a:solidFill>
            <a:ln>
              <a:noFill/>
            </a:ln>
            <a:effectLst/>
          </c:spPr>
          <c:invertIfNegative val="0"/>
          <c:cat>
            <c:strRef>
              <c:f>Pivot_Category_by_Conf!$A$5:$A$9</c:f>
              <c:strCache>
                <c:ptCount val="4"/>
                <c:pt idx="0">
                  <c:v>ACC</c:v>
                </c:pt>
                <c:pt idx="1">
                  <c:v>Big 10</c:v>
                </c:pt>
                <c:pt idx="2">
                  <c:v>Big 12</c:v>
                </c:pt>
                <c:pt idx="3">
                  <c:v>SEC</c:v>
                </c:pt>
              </c:strCache>
            </c:strRef>
          </c:cat>
          <c:val>
            <c:numRef>
              <c:f>Pivot_Category_by_Conf!$E$5:$E$9</c:f>
              <c:numCache>
                <c:formatCode>General</c:formatCode>
                <c:ptCount val="4"/>
                <c:pt idx="0">
                  <c:v>166</c:v>
                </c:pt>
                <c:pt idx="1">
                  <c:v>113</c:v>
                </c:pt>
                <c:pt idx="2">
                  <c:v>84</c:v>
                </c:pt>
                <c:pt idx="3">
                  <c:v>112</c:v>
                </c:pt>
              </c:numCache>
            </c:numRef>
          </c:val>
          <c:extLst>
            <c:ext xmlns:c16="http://schemas.microsoft.com/office/drawing/2014/chart" uri="{C3380CC4-5D6E-409C-BE32-E72D297353CC}">
              <c16:uniqueId val="{00000003-DA2A-449E-BC44-BBD045E39F02}"/>
            </c:ext>
          </c:extLst>
        </c:ser>
        <c:ser>
          <c:idx val="4"/>
          <c:order val="4"/>
          <c:tx>
            <c:strRef>
              <c:f>Pivot_Category_by_Conf!$F$3:$F$4</c:f>
              <c:strCache>
                <c:ptCount val="1"/>
                <c:pt idx="0">
                  <c:v>Procedural</c:v>
                </c:pt>
              </c:strCache>
            </c:strRef>
          </c:tx>
          <c:spPr>
            <a:solidFill>
              <a:schemeClr val="accent5"/>
            </a:solidFill>
            <a:ln>
              <a:noFill/>
            </a:ln>
            <a:effectLst/>
          </c:spPr>
          <c:invertIfNegative val="0"/>
          <c:cat>
            <c:strRef>
              <c:f>Pivot_Category_by_Conf!$A$5:$A$9</c:f>
              <c:strCache>
                <c:ptCount val="4"/>
                <c:pt idx="0">
                  <c:v>ACC</c:v>
                </c:pt>
                <c:pt idx="1">
                  <c:v>Big 10</c:v>
                </c:pt>
                <c:pt idx="2">
                  <c:v>Big 12</c:v>
                </c:pt>
                <c:pt idx="3">
                  <c:v>SEC</c:v>
                </c:pt>
              </c:strCache>
            </c:strRef>
          </c:cat>
          <c:val>
            <c:numRef>
              <c:f>Pivot_Category_by_Conf!$F$5:$F$9</c:f>
              <c:numCache>
                <c:formatCode>General</c:formatCode>
                <c:ptCount val="4"/>
                <c:pt idx="0">
                  <c:v>363</c:v>
                </c:pt>
                <c:pt idx="1">
                  <c:v>305</c:v>
                </c:pt>
                <c:pt idx="2">
                  <c:v>296</c:v>
                </c:pt>
                <c:pt idx="3">
                  <c:v>363</c:v>
                </c:pt>
              </c:numCache>
            </c:numRef>
          </c:val>
          <c:extLst>
            <c:ext xmlns:c16="http://schemas.microsoft.com/office/drawing/2014/chart" uri="{C3380CC4-5D6E-409C-BE32-E72D297353CC}">
              <c16:uniqueId val="{00000004-DA2A-449E-BC44-BBD045E39F02}"/>
            </c:ext>
          </c:extLst>
        </c:ser>
        <c:dLbls>
          <c:showLegendKey val="0"/>
          <c:showVal val="0"/>
          <c:showCatName val="0"/>
          <c:showSerName val="0"/>
          <c:showPercent val="0"/>
          <c:showBubbleSize val="0"/>
        </c:dLbls>
        <c:gapWidth val="150"/>
        <c:overlap val="100"/>
        <c:axId val="452023200"/>
        <c:axId val="1192321264"/>
      </c:barChart>
      <c:catAx>
        <c:axId val="45202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21264"/>
        <c:crosses val="autoZero"/>
        <c:auto val="1"/>
        <c:lblAlgn val="ctr"/>
        <c:lblOffset val="100"/>
        <c:noMultiLvlLbl val="0"/>
      </c:catAx>
      <c:valAx>
        <c:axId val="119232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2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[Analysis_Try_One.xlsx]Pivot_Category_by_Conf!PivotTable1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Penalty Types by Conference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Pivot_Category_by_Conf!$B$3:$B$4</c:f>
              <c:strCache>
                <c:ptCount val="1"/>
                <c:pt idx="0">
                  <c:v>Other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Pivot_Category_by_Conf!$A$5:$A$9</c:f>
              <c:strCache>
                <c:ptCount val="4"/>
                <c:pt idx="0">
                  <c:v>ACC</c:v>
                </c:pt>
                <c:pt idx="1">
                  <c:v>Big 10</c:v>
                </c:pt>
                <c:pt idx="2">
                  <c:v>Big 12</c:v>
                </c:pt>
                <c:pt idx="3">
                  <c:v>SEC</c:v>
                </c:pt>
              </c:strCache>
            </c:strRef>
          </c:cat>
          <c:val>
            <c:numRef>
              <c:f>Pivot_Category_by_Conf!$B$5:$B$9</c:f>
              <c:numCache>
                <c:formatCode>General</c:formatCode>
                <c:ptCount val="4"/>
                <c:pt idx="0">
                  <c:v>199</c:v>
                </c:pt>
                <c:pt idx="1">
                  <c:v>139</c:v>
                </c:pt>
                <c:pt idx="2">
                  <c:v>170</c:v>
                </c:pt>
                <c:pt idx="3">
                  <c:v>145</c:v>
                </c:pt>
              </c:numCache>
            </c:numRef>
          </c:val>
          <c:extLst>
            <c:ext xmlns:c16="http://schemas.microsoft.com/office/drawing/2014/chart" uri="{C3380CC4-5D6E-409C-BE32-E72D297353CC}">
              <c16:uniqueId val="{00000000-ED1C-434A-99AC-515FE589126D}"/>
            </c:ext>
          </c:extLst>
        </c:ser>
        <c:ser>
          <c:idx val="1"/>
          <c:order val="1"/>
          <c:tx>
            <c:strRef>
              <c:f>Pivot_Category_by_Conf!$C$3:$C$4</c:f>
              <c:strCache>
                <c:ptCount val="1"/>
                <c:pt idx="0">
                  <c:v>Holding/Blocking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Pivot_Category_by_Conf!$A$5:$A$9</c:f>
              <c:strCache>
                <c:ptCount val="4"/>
                <c:pt idx="0">
                  <c:v>ACC</c:v>
                </c:pt>
                <c:pt idx="1">
                  <c:v>Big 10</c:v>
                </c:pt>
                <c:pt idx="2">
                  <c:v>Big 12</c:v>
                </c:pt>
                <c:pt idx="3">
                  <c:v>SEC</c:v>
                </c:pt>
              </c:strCache>
            </c:strRef>
          </c:cat>
          <c:val>
            <c:numRef>
              <c:f>Pivot_Category_by_Conf!$C$5:$C$9</c:f>
              <c:numCache>
                <c:formatCode>General</c:formatCode>
                <c:ptCount val="4"/>
                <c:pt idx="0">
                  <c:v>234</c:v>
                </c:pt>
                <c:pt idx="1">
                  <c:v>145</c:v>
                </c:pt>
                <c:pt idx="2">
                  <c:v>260</c:v>
                </c:pt>
                <c:pt idx="3">
                  <c:v>247</c:v>
                </c:pt>
              </c:numCache>
            </c:numRef>
          </c:val>
          <c:extLst>
            <c:ext xmlns:c16="http://schemas.microsoft.com/office/drawing/2014/chart" uri="{C3380CC4-5D6E-409C-BE32-E72D297353CC}">
              <c16:uniqueId val="{00000001-ED1C-434A-99AC-515FE589126D}"/>
            </c:ext>
          </c:extLst>
        </c:ser>
        <c:ser>
          <c:idx val="2"/>
          <c:order val="2"/>
          <c:tx>
            <c:strRef>
              <c:f>Pivot_Category_by_Conf!$D$3:$D$4</c:f>
              <c:strCache>
                <c:ptCount val="1"/>
                <c:pt idx="0">
                  <c:v>Pass/Coverage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Pivot_Category_by_Conf!$A$5:$A$9</c:f>
              <c:strCache>
                <c:ptCount val="4"/>
                <c:pt idx="0">
                  <c:v>ACC</c:v>
                </c:pt>
                <c:pt idx="1">
                  <c:v>Big 10</c:v>
                </c:pt>
                <c:pt idx="2">
                  <c:v>Big 12</c:v>
                </c:pt>
                <c:pt idx="3">
                  <c:v>SEC</c:v>
                </c:pt>
              </c:strCache>
            </c:strRef>
          </c:cat>
          <c:val>
            <c:numRef>
              <c:f>Pivot_Category_by_Conf!$D$5:$D$9</c:f>
              <c:numCache>
                <c:formatCode>General</c:formatCode>
                <c:ptCount val="4"/>
                <c:pt idx="0">
                  <c:v>122</c:v>
                </c:pt>
                <c:pt idx="1">
                  <c:v>125</c:v>
                </c:pt>
                <c:pt idx="2">
                  <c:v>141</c:v>
                </c:pt>
                <c:pt idx="3">
                  <c:v>120</c:v>
                </c:pt>
              </c:numCache>
            </c:numRef>
          </c:val>
          <c:extLst>
            <c:ext xmlns:c16="http://schemas.microsoft.com/office/drawing/2014/chart" uri="{C3380CC4-5D6E-409C-BE32-E72D297353CC}">
              <c16:uniqueId val="{00000002-ED1C-434A-99AC-515FE589126D}"/>
            </c:ext>
          </c:extLst>
        </c:ser>
        <c:ser>
          <c:idx val="3"/>
          <c:order val="3"/>
          <c:tx>
            <c:strRef>
              <c:f>Pivot_Category_by_Conf!$E$3:$E$4</c:f>
              <c:strCache>
                <c:ptCount val="1"/>
                <c:pt idx="0">
                  <c:v>Personal Foul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Pivot_Category_by_Conf!$A$5:$A$9</c:f>
              <c:strCache>
                <c:ptCount val="4"/>
                <c:pt idx="0">
                  <c:v>ACC</c:v>
                </c:pt>
                <c:pt idx="1">
                  <c:v>Big 10</c:v>
                </c:pt>
                <c:pt idx="2">
                  <c:v>Big 12</c:v>
                </c:pt>
                <c:pt idx="3">
                  <c:v>SEC</c:v>
                </c:pt>
              </c:strCache>
            </c:strRef>
          </c:cat>
          <c:val>
            <c:numRef>
              <c:f>Pivot_Category_by_Conf!$E$5:$E$9</c:f>
              <c:numCache>
                <c:formatCode>General</c:formatCode>
                <c:ptCount val="4"/>
                <c:pt idx="0">
                  <c:v>166</c:v>
                </c:pt>
                <c:pt idx="1">
                  <c:v>113</c:v>
                </c:pt>
                <c:pt idx="2">
                  <c:v>84</c:v>
                </c:pt>
                <c:pt idx="3">
                  <c:v>112</c:v>
                </c:pt>
              </c:numCache>
            </c:numRef>
          </c:val>
          <c:extLst>
            <c:ext xmlns:c16="http://schemas.microsoft.com/office/drawing/2014/chart" uri="{C3380CC4-5D6E-409C-BE32-E72D297353CC}">
              <c16:uniqueId val="{00000003-ED1C-434A-99AC-515FE589126D}"/>
            </c:ext>
          </c:extLst>
        </c:ser>
        <c:ser>
          <c:idx val="4"/>
          <c:order val="4"/>
          <c:tx>
            <c:strRef>
              <c:f>Pivot_Category_by_Conf!$F$3:$F$4</c:f>
              <c:strCache>
                <c:ptCount val="1"/>
                <c:pt idx="0">
                  <c:v>Procedural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Pivot_Category_by_Conf!$A$5:$A$9</c:f>
              <c:strCache>
                <c:ptCount val="4"/>
                <c:pt idx="0">
                  <c:v>ACC</c:v>
                </c:pt>
                <c:pt idx="1">
                  <c:v>Big 10</c:v>
                </c:pt>
                <c:pt idx="2">
                  <c:v>Big 12</c:v>
                </c:pt>
                <c:pt idx="3">
                  <c:v>SEC</c:v>
                </c:pt>
              </c:strCache>
            </c:strRef>
          </c:cat>
          <c:val>
            <c:numRef>
              <c:f>Pivot_Category_by_Conf!$F$5:$F$9</c:f>
              <c:numCache>
                <c:formatCode>General</c:formatCode>
                <c:ptCount val="4"/>
                <c:pt idx="0">
                  <c:v>363</c:v>
                </c:pt>
                <c:pt idx="1">
                  <c:v>305</c:v>
                </c:pt>
                <c:pt idx="2">
                  <c:v>296</c:v>
                </c:pt>
                <c:pt idx="3">
                  <c:v>363</c:v>
                </c:pt>
              </c:numCache>
            </c:numRef>
          </c:val>
          <c:extLst>
            <c:ext xmlns:c16="http://schemas.microsoft.com/office/drawing/2014/chart" uri="{C3380CC4-5D6E-409C-BE32-E72D297353CC}">
              <c16:uniqueId val="{00000004-ED1C-434A-99AC-515FE589126D}"/>
            </c:ext>
          </c:extLst>
        </c:ser>
        <c:dLbls>
          <c:dLblPos val="ctr"/>
          <c:showLegendKey val="0"/>
          <c:showVal val="1"/>
          <c:showCatName val="0"/>
          <c:showSerName val="0"/>
          <c:showPercent val="0"/>
          <c:showBubbleSize val="0"/>
        </c:dLbls>
        <c:gapWidth val="150"/>
        <c:overlap val="100"/>
        <c:axId val="452023200"/>
        <c:axId val="1192321264"/>
      </c:barChart>
      <c:catAx>
        <c:axId val="452023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321264"/>
        <c:crosses val="autoZero"/>
        <c:auto val="1"/>
        <c:lblAlgn val="ctr"/>
        <c:lblOffset val="100"/>
        <c:noMultiLvlLbl val="0"/>
      </c:catAx>
      <c:valAx>
        <c:axId val="1192321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02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847725</xdr:colOff>
      <xdr:row>17</xdr:row>
      <xdr:rowOff>14287</xdr:rowOff>
    </xdr:from>
    <xdr:to>
      <xdr:col>4</xdr:col>
      <xdr:colOff>523875</xdr:colOff>
      <xdr:row>31</xdr:row>
      <xdr:rowOff>90487</xdr:rowOff>
    </xdr:to>
    <xdr:graphicFrame macro="">
      <xdr:nvGraphicFramePr>
        <xdr:cNvPr id="2" name="Chart 1">
          <a:extLst>
            <a:ext uri="{FF2B5EF4-FFF2-40B4-BE49-F238E27FC236}">
              <a16:creationId xmlns:a16="http://schemas.microsoft.com/office/drawing/2014/main" id="{2B32363D-8025-A78C-BB14-ED6B87D64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19050</xdr:rowOff>
    </xdr:from>
    <xdr:to>
      <xdr:col>10</xdr:col>
      <xdr:colOff>47625</xdr:colOff>
      <xdr:row>14</xdr:row>
      <xdr:rowOff>95250</xdr:rowOff>
    </xdr:to>
    <xdr:graphicFrame macro="">
      <xdr:nvGraphicFramePr>
        <xdr:cNvPr id="7" name="Chart 6">
          <a:extLst>
            <a:ext uri="{FF2B5EF4-FFF2-40B4-BE49-F238E27FC236}">
              <a16:creationId xmlns:a16="http://schemas.microsoft.com/office/drawing/2014/main" id="{FA799061-E6A4-4BE3-AC69-C119011A6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38100</xdr:rowOff>
    </xdr:from>
    <xdr:to>
      <xdr:col>3</xdr:col>
      <xdr:colOff>0</xdr:colOff>
      <xdr:row>14</xdr:row>
      <xdr:rowOff>38100</xdr:rowOff>
    </xdr:to>
    <mc:AlternateContent xmlns:mc="http://schemas.openxmlformats.org/markup-compatibility/2006">
      <mc:Choice xmlns:a14="http://schemas.microsoft.com/office/drawing/2010/main" Requires="a14">
        <xdr:graphicFrame macro="">
          <xdr:nvGraphicFramePr>
            <xdr:cNvPr id="8" name="conference">
              <a:extLst>
                <a:ext uri="{FF2B5EF4-FFF2-40B4-BE49-F238E27FC236}">
                  <a16:creationId xmlns:a16="http://schemas.microsoft.com/office/drawing/2014/main" id="{9CA997E4-AECD-CD48-B608-BC5195E54FBD}"/>
                </a:ext>
              </a:extLst>
            </xdr:cNvPr>
            <xdr:cNvGraphicFramePr/>
          </xdr:nvGraphicFramePr>
          <xdr:xfrm>
            <a:off x="0" y="0"/>
            <a:ext cx="0" cy="0"/>
          </xdr:xfrm>
          <a:graphic>
            <a:graphicData uri="http://schemas.microsoft.com/office/drawing/2010/slicer">
              <sle:slicer xmlns:sle="http://schemas.microsoft.com/office/drawing/2010/slicer" name="conference"/>
            </a:graphicData>
          </a:graphic>
        </xdr:graphicFrame>
      </mc:Choice>
      <mc:Fallback>
        <xdr:sp macro="" textlink="">
          <xdr:nvSpPr>
            <xdr:cNvPr id="0" name=""/>
            <xdr:cNvSpPr>
              <a:spLocks noTextEdit="1"/>
            </xdr:cNvSpPr>
          </xdr:nvSpPr>
          <xdr:spPr>
            <a:xfrm>
              <a:off x="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47625</xdr:rowOff>
    </xdr:from>
    <xdr:to>
      <xdr:col>3</xdr:col>
      <xdr:colOff>9525</xdr:colOff>
      <xdr:row>23</xdr:row>
      <xdr:rowOff>133350</xdr:rowOff>
    </xdr:to>
    <mc:AlternateContent xmlns:mc="http://schemas.openxmlformats.org/markup-compatibility/2006">
      <mc:Choice xmlns:a14="http://schemas.microsoft.com/office/drawing/2010/main" Requires="a14">
        <xdr:graphicFrame macro="">
          <xdr:nvGraphicFramePr>
            <xdr:cNvPr id="9" name="Penalty_Category">
              <a:extLst>
                <a:ext uri="{FF2B5EF4-FFF2-40B4-BE49-F238E27FC236}">
                  <a16:creationId xmlns:a16="http://schemas.microsoft.com/office/drawing/2014/main" id="{7AE3C8BD-84AF-D3AC-6076-EA565A4632FD}"/>
                </a:ext>
              </a:extLst>
            </xdr:cNvPr>
            <xdr:cNvGraphicFramePr/>
          </xdr:nvGraphicFramePr>
          <xdr:xfrm>
            <a:off x="0" y="0"/>
            <a:ext cx="0" cy="0"/>
          </xdr:xfrm>
          <a:graphic>
            <a:graphicData uri="http://schemas.microsoft.com/office/drawing/2010/slicer">
              <sle:slicer xmlns:sle="http://schemas.microsoft.com/office/drawing/2010/slicer" name="Penalty_Category"/>
            </a:graphicData>
          </a:graphic>
        </xdr:graphicFrame>
      </mc:Choice>
      <mc:Fallback>
        <xdr:sp macro="" textlink="">
          <xdr:nvSpPr>
            <xdr:cNvPr id="0" name=""/>
            <xdr:cNvSpPr>
              <a:spLocks noTextEdit="1"/>
            </xdr:cNvSpPr>
          </xdr:nvSpPr>
          <xdr:spPr>
            <a:xfrm>
              <a:off x="9525" y="2714625"/>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133350</xdr:rowOff>
    </xdr:from>
    <xdr:to>
      <xdr:col>3</xdr:col>
      <xdr:colOff>0</xdr:colOff>
      <xdr:row>28</xdr:row>
      <xdr:rowOff>133350</xdr:rowOff>
    </xdr:to>
    <mc:AlternateContent xmlns:mc="http://schemas.openxmlformats.org/markup-compatibility/2006">
      <mc:Choice xmlns:a14="http://schemas.microsoft.com/office/drawing/2010/main" Requires="a14">
        <xdr:graphicFrame macro="">
          <xdr:nvGraphicFramePr>
            <xdr:cNvPr id="13" name="penalty_result">
              <a:extLst>
                <a:ext uri="{FF2B5EF4-FFF2-40B4-BE49-F238E27FC236}">
                  <a16:creationId xmlns:a16="http://schemas.microsoft.com/office/drawing/2014/main" id="{26EEA580-A3E7-FBFE-2A76-39C393EC973E}"/>
                </a:ext>
              </a:extLst>
            </xdr:cNvPr>
            <xdr:cNvGraphicFramePr/>
          </xdr:nvGraphicFramePr>
          <xdr:xfrm>
            <a:off x="0" y="0"/>
            <a:ext cx="0" cy="0"/>
          </xdr:xfrm>
          <a:graphic>
            <a:graphicData uri="http://schemas.microsoft.com/office/drawing/2010/slicer">
              <sle:slicer xmlns:sle="http://schemas.microsoft.com/office/drawing/2010/slicer" name="penalty_result"/>
            </a:graphicData>
          </a:graphic>
        </xdr:graphicFrame>
      </mc:Choice>
      <mc:Fallback>
        <xdr:sp macro="" textlink="">
          <xdr:nvSpPr>
            <xdr:cNvPr id="0" name=""/>
            <xdr:cNvSpPr>
              <a:spLocks noTextEdit="1"/>
            </xdr:cNvSpPr>
          </xdr:nvSpPr>
          <xdr:spPr>
            <a:xfrm>
              <a:off x="0" y="4514850"/>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VIRONMENTALCHIMNEY" refreshedDate="45974.514595370369" createdVersion="8" refreshedVersion="8" minRefreshableVersion="3" recordCount="1420" xr:uid="{C9282851-6BFF-4DFE-8934-FAD05DB9A9BB}">
  <cacheSource type="worksheet">
    <worksheetSource name="tblPenalties"/>
  </cacheSource>
  <cacheFields count="13">
    <cacheField name="offense" numFmtId="0">
      <sharedItems/>
    </cacheField>
    <cacheField name="conference" numFmtId="0">
      <sharedItems count="11">
        <s v="SBC"/>
        <s v="Big 12"/>
        <s v="SEC"/>
        <s v="MAC"/>
        <s v="MWC"/>
        <s v="ACC"/>
        <s v="American"/>
        <s v="CUSA"/>
        <s v="Big 10"/>
        <s v="Pac 12"/>
        <s v="Independent"/>
      </sharedItems>
    </cacheField>
    <cacheField name="penalty_type" numFmtId="0">
      <sharedItems count="15">
        <s v="False Start"/>
        <s v="Delay of Game"/>
        <s v="Illegal Formation"/>
        <s v="Offside"/>
        <s v="Illegal Motion"/>
        <s v="Other / Unclassified"/>
        <s v="Unsportsmanlike Conduct"/>
        <s v="Pass Interference"/>
        <s v="Targeting"/>
        <s v="Face Mask"/>
        <s v="Personal Foul"/>
        <s v="Roughing"/>
        <s v="Roughing the Passer"/>
        <s v="Holding"/>
        <s v="Roughing the Kicker"/>
      </sharedItems>
    </cacheField>
    <cacheField name="total_penalties" numFmtId="0">
      <sharedItems containsSemiMixedTypes="0" containsString="0" containsNumber="1" containsInteger="1" minValue="1" maxValue="27"/>
    </cacheField>
    <cacheField name="total_yards" numFmtId="0">
      <sharedItems containsSemiMixedTypes="0" containsString="0" containsNumber="1" containsInteger="1" minValue="0" maxValue="382"/>
    </cacheField>
    <cacheField name="average_yards_per_penalty" numFmtId="0">
      <sharedItems containsSemiMixedTypes="0" containsString="0" containsNumber="1" minValue="0" maxValue="65"/>
    </cacheField>
    <cacheField name="AP_Rank" numFmtId="0">
      <sharedItems containsString="0" containsBlank="1" containsNumber="1" containsInteger="1" minValue="1" maxValue="23"/>
    </cacheField>
    <cacheField name="Coaches_Rank" numFmtId="0">
      <sharedItems containsString="0" containsBlank="1" containsNumber="1" containsInteger="1" minValue="1" maxValue="24"/>
    </cacheField>
    <cacheField name="CFP_Rank" numFmtId="0">
      <sharedItems containsString="0" containsBlank="1" containsNumber="1" containsInteger="1" minValue="1" maxValue="25" count="25">
        <m/>
        <n v="21"/>
        <n v="4"/>
        <n v="12"/>
        <n v="25"/>
        <n v="5"/>
        <n v="16"/>
        <n v="2"/>
        <n v="20"/>
        <n v="15"/>
        <n v="18"/>
        <n v="9"/>
        <n v="1"/>
        <n v="11"/>
        <n v="7"/>
        <n v="8"/>
        <n v="22"/>
        <n v="23"/>
        <n v="10"/>
        <n v="3"/>
        <n v="6"/>
        <n v="17"/>
        <n v="13"/>
        <n v="14"/>
        <n v="19"/>
      </sharedItems>
    </cacheField>
    <cacheField name="Penalty_Category" numFmtId="0">
      <sharedItems count="5">
        <s v="Procedural"/>
        <s v="Other"/>
        <s v="Personal Foul"/>
        <s v="Pass/Coverage"/>
        <s v="Holding/Blocking"/>
      </sharedItems>
    </cacheField>
    <cacheField name="penalty_enforced" numFmtId="0">
      <sharedItems containsSemiMixedTypes="0" containsString="0" containsNumber="1" containsInteger="1" minValue="0" maxValue="1" count="2">
        <n v="1"/>
        <n v="0"/>
      </sharedItems>
    </cacheField>
    <cacheField name="penalty_declined_or_offset" numFmtId="0">
      <sharedItems containsSemiMixedTypes="0" containsString="0" containsNumber="1" containsInteger="1" minValue="0" maxValue="1"/>
    </cacheField>
    <cacheField name="penalty_result" numFmtId="0">
      <sharedItems count="2">
        <s v="Accepted"/>
        <s v="Declined"/>
      </sharedItems>
    </cacheField>
  </cacheFields>
  <extLst>
    <ext xmlns:x14="http://schemas.microsoft.com/office/spreadsheetml/2009/9/main" uri="{725AE2AE-9491-48be-B2B4-4EB974FC3084}">
      <x14:pivotCacheDefinition pivotCacheId="426654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0">
  <r>
    <s v="App State"/>
    <x v="0"/>
    <x v="0"/>
    <n v="10"/>
    <n v="50"/>
    <n v="5"/>
    <m/>
    <m/>
    <x v="0"/>
    <x v="0"/>
    <x v="0"/>
    <n v="0"/>
    <x v="0"/>
  </r>
  <r>
    <s v="Arizona"/>
    <x v="1"/>
    <x v="0"/>
    <n v="6"/>
    <n v="30"/>
    <n v="5"/>
    <m/>
    <m/>
    <x v="0"/>
    <x v="0"/>
    <x v="0"/>
    <n v="0"/>
    <x v="0"/>
  </r>
  <r>
    <s v="Arkansas"/>
    <x v="2"/>
    <x v="0"/>
    <n v="5"/>
    <n v="25"/>
    <n v="5"/>
    <m/>
    <m/>
    <x v="0"/>
    <x v="0"/>
    <x v="0"/>
    <n v="0"/>
    <x v="0"/>
  </r>
  <r>
    <s v="Ball State"/>
    <x v="3"/>
    <x v="1"/>
    <n v="5"/>
    <n v="25"/>
    <n v="5"/>
    <m/>
    <m/>
    <x v="0"/>
    <x v="0"/>
    <x v="0"/>
    <n v="0"/>
    <x v="0"/>
  </r>
  <r>
    <s v="Ball State"/>
    <x v="3"/>
    <x v="2"/>
    <n v="1"/>
    <n v="5"/>
    <n v="5"/>
    <m/>
    <m/>
    <x v="0"/>
    <x v="0"/>
    <x v="0"/>
    <n v="0"/>
    <x v="0"/>
  </r>
  <r>
    <s v="Baylor"/>
    <x v="1"/>
    <x v="0"/>
    <n v="2"/>
    <n v="10"/>
    <n v="5"/>
    <m/>
    <m/>
    <x v="0"/>
    <x v="0"/>
    <x v="0"/>
    <n v="0"/>
    <x v="0"/>
  </r>
  <r>
    <s v="Boise State"/>
    <x v="4"/>
    <x v="2"/>
    <n v="1"/>
    <n v="5"/>
    <n v="5"/>
    <m/>
    <m/>
    <x v="0"/>
    <x v="0"/>
    <x v="0"/>
    <n v="0"/>
    <x v="0"/>
  </r>
  <r>
    <s v="Boston College"/>
    <x v="5"/>
    <x v="1"/>
    <n v="2"/>
    <n v="10"/>
    <n v="5"/>
    <m/>
    <m/>
    <x v="0"/>
    <x v="0"/>
    <x v="0"/>
    <n v="0"/>
    <x v="0"/>
  </r>
  <r>
    <s v="Bowling Green"/>
    <x v="3"/>
    <x v="0"/>
    <n v="10"/>
    <n v="50"/>
    <n v="5"/>
    <m/>
    <m/>
    <x v="0"/>
    <x v="0"/>
    <x v="0"/>
    <n v="0"/>
    <x v="0"/>
  </r>
  <r>
    <s v="Buffalo"/>
    <x v="3"/>
    <x v="3"/>
    <n v="2"/>
    <n v="10"/>
    <n v="5"/>
    <m/>
    <m/>
    <x v="0"/>
    <x v="0"/>
    <x v="0"/>
    <n v="0"/>
    <x v="0"/>
  </r>
  <r>
    <s v="California"/>
    <x v="5"/>
    <x v="0"/>
    <n v="24"/>
    <n v="120"/>
    <n v="5"/>
    <m/>
    <m/>
    <x v="0"/>
    <x v="0"/>
    <x v="0"/>
    <n v="0"/>
    <x v="0"/>
  </r>
  <r>
    <s v="Charlotte"/>
    <x v="6"/>
    <x v="1"/>
    <n v="1"/>
    <n v="5"/>
    <n v="5"/>
    <m/>
    <m/>
    <x v="0"/>
    <x v="0"/>
    <x v="0"/>
    <n v="0"/>
    <x v="0"/>
  </r>
  <r>
    <s v="Charlotte"/>
    <x v="6"/>
    <x v="2"/>
    <n v="1"/>
    <n v="5"/>
    <n v="5"/>
    <m/>
    <m/>
    <x v="0"/>
    <x v="0"/>
    <x v="0"/>
    <n v="0"/>
    <x v="0"/>
  </r>
  <r>
    <s v="Clemson"/>
    <x v="5"/>
    <x v="1"/>
    <n v="1"/>
    <n v="5"/>
    <n v="5"/>
    <m/>
    <m/>
    <x v="0"/>
    <x v="0"/>
    <x v="0"/>
    <n v="0"/>
    <x v="0"/>
  </r>
  <r>
    <s v="Coastal Carolina"/>
    <x v="0"/>
    <x v="0"/>
    <n v="9"/>
    <n v="45"/>
    <n v="5"/>
    <m/>
    <m/>
    <x v="0"/>
    <x v="0"/>
    <x v="0"/>
    <n v="0"/>
    <x v="0"/>
  </r>
  <r>
    <s v="Coastal Carolina"/>
    <x v="0"/>
    <x v="1"/>
    <n v="2"/>
    <n v="10"/>
    <n v="5"/>
    <m/>
    <m/>
    <x v="0"/>
    <x v="0"/>
    <x v="0"/>
    <n v="0"/>
    <x v="0"/>
  </r>
  <r>
    <s v="Colorado"/>
    <x v="1"/>
    <x v="0"/>
    <n v="9"/>
    <n v="45"/>
    <n v="5"/>
    <m/>
    <m/>
    <x v="0"/>
    <x v="0"/>
    <x v="0"/>
    <n v="0"/>
    <x v="0"/>
  </r>
  <r>
    <s v="Colorado State"/>
    <x v="4"/>
    <x v="0"/>
    <n v="12"/>
    <n v="60"/>
    <n v="5"/>
    <m/>
    <m/>
    <x v="0"/>
    <x v="0"/>
    <x v="0"/>
    <n v="0"/>
    <x v="0"/>
  </r>
  <r>
    <s v="Colorado State"/>
    <x v="4"/>
    <x v="1"/>
    <n v="1"/>
    <n v="5"/>
    <n v="5"/>
    <m/>
    <m/>
    <x v="0"/>
    <x v="0"/>
    <x v="0"/>
    <n v="0"/>
    <x v="0"/>
  </r>
  <r>
    <s v="Delaware"/>
    <x v="7"/>
    <x v="0"/>
    <n v="5"/>
    <n v="25"/>
    <n v="5"/>
    <m/>
    <m/>
    <x v="0"/>
    <x v="0"/>
    <x v="0"/>
    <n v="0"/>
    <x v="0"/>
  </r>
  <r>
    <s v="E Michigan"/>
    <x v="3"/>
    <x v="0"/>
    <n v="14"/>
    <n v="70"/>
    <n v="5"/>
    <m/>
    <m/>
    <x v="0"/>
    <x v="0"/>
    <x v="0"/>
    <n v="0"/>
    <x v="0"/>
  </r>
  <r>
    <s v="E Michigan"/>
    <x v="3"/>
    <x v="1"/>
    <n v="5"/>
    <n v="25"/>
    <n v="5"/>
    <m/>
    <m/>
    <x v="0"/>
    <x v="0"/>
    <x v="0"/>
    <n v="0"/>
    <x v="0"/>
  </r>
  <r>
    <s v="FAU"/>
    <x v="6"/>
    <x v="0"/>
    <n v="18"/>
    <n v="90"/>
    <n v="5"/>
    <m/>
    <m/>
    <x v="0"/>
    <x v="0"/>
    <x v="0"/>
    <n v="0"/>
    <x v="0"/>
  </r>
  <r>
    <s v="FAU"/>
    <x v="6"/>
    <x v="1"/>
    <n v="2"/>
    <n v="10"/>
    <n v="5"/>
    <m/>
    <m/>
    <x v="0"/>
    <x v="0"/>
    <x v="0"/>
    <n v="0"/>
    <x v="0"/>
  </r>
  <r>
    <s v="FIU"/>
    <x v="7"/>
    <x v="0"/>
    <n v="11"/>
    <n v="55"/>
    <n v="5"/>
    <m/>
    <m/>
    <x v="0"/>
    <x v="0"/>
    <x v="0"/>
    <n v="0"/>
    <x v="0"/>
  </r>
  <r>
    <s v="FIU"/>
    <x v="7"/>
    <x v="1"/>
    <n v="7"/>
    <n v="35"/>
    <n v="5"/>
    <m/>
    <m/>
    <x v="0"/>
    <x v="0"/>
    <x v="0"/>
    <n v="0"/>
    <x v="0"/>
  </r>
  <r>
    <s v="Florida"/>
    <x v="2"/>
    <x v="1"/>
    <n v="3"/>
    <n v="15"/>
    <n v="5"/>
    <m/>
    <m/>
    <x v="0"/>
    <x v="0"/>
    <x v="0"/>
    <n v="0"/>
    <x v="0"/>
  </r>
  <r>
    <s v="Florida State"/>
    <x v="5"/>
    <x v="1"/>
    <n v="4"/>
    <n v="20"/>
    <n v="5"/>
    <m/>
    <m/>
    <x v="0"/>
    <x v="0"/>
    <x v="0"/>
    <n v="0"/>
    <x v="0"/>
  </r>
  <r>
    <s v="Fresno State"/>
    <x v="4"/>
    <x v="1"/>
    <n v="3"/>
    <n v="15"/>
    <n v="5"/>
    <m/>
    <m/>
    <x v="0"/>
    <x v="0"/>
    <x v="0"/>
    <n v="0"/>
    <x v="0"/>
  </r>
  <r>
    <s v="Georgia Southern"/>
    <x v="0"/>
    <x v="0"/>
    <n v="6"/>
    <n v="30"/>
    <n v="5"/>
    <m/>
    <m/>
    <x v="0"/>
    <x v="0"/>
    <x v="0"/>
    <n v="0"/>
    <x v="0"/>
  </r>
  <r>
    <s v="Georgia Southern"/>
    <x v="0"/>
    <x v="1"/>
    <n v="2"/>
    <n v="10"/>
    <n v="5"/>
    <m/>
    <m/>
    <x v="0"/>
    <x v="0"/>
    <x v="0"/>
    <n v="0"/>
    <x v="0"/>
  </r>
  <r>
    <s v="Hawai'i"/>
    <x v="4"/>
    <x v="4"/>
    <n v="1"/>
    <n v="5"/>
    <n v="5"/>
    <m/>
    <m/>
    <x v="0"/>
    <x v="0"/>
    <x v="0"/>
    <n v="0"/>
    <x v="0"/>
  </r>
  <r>
    <s v="Houston"/>
    <x v="1"/>
    <x v="1"/>
    <n v="1"/>
    <n v="5"/>
    <n v="5"/>
    <m/>
    <m/>
    <x v="0"/>
    <x v="0"/>
    <x v="0"/>
    <n v="0"/>
    <x v="0"/>
  </r>
  <r>
    <s v="Illinois"/>
    <x v="8"/>
    <x v="1"/>
    <n v="1"/>
    <n v="5"/>
    <n v="5"/>
    <m/>
    <m/>
    <x v="0"/>
    <x v="0"/>
    <x v="0"/>
    <n v="0"/>
    <x v="0"/>
  </r>
  <r>
    <s v="Iowa State"/>
    <x v="1"/>
    <x v="1"/>
    <n v="1"/>
    <n v="5"/>
    <n v="5"/>
    <m/>
    <m/>
    <x v="0"/>
    <x v="0"/>
    <x v="0"/>
    <n v="0"/>
    <x v="0"/>
  </r>
  <r>
    <s v="J Madison"/>
    <x v="0"/>
    <x v="1"/>
    <n v="5"/>
    <n v="25"/>
    <n v="5"/>
    <m/>
    <m/>
    <x v="0"/>
    <x v="0"/>
    <x v="0"/>
    <n v="0"/>
    <x v="0"/>
  </r>
  <r>
    <s v="J Madison"/>
    <x v="0"/>
    <x v="3"/>
    <n v="4"/>
    <n v="20"/>
    <n v="5"/>
    <m/>
    <m/>
    <x v="0"/>
    <x v="0"/>
    <x v="0"/>
    <n v="0"/>
    <x v="0"/>
  </r>
  <r>
    <s v="Jacksonville State"/>
    <x v="7"/>
    <x v="0"/>
    <n v="6"/>
    <n v="30"/>
    <n v="5"/>
    <m/>
    <m/>
    <x v="0"/>
    <x v="0"/>
    <x v="0"/>
    <n v="0"/>
    <x v="0"/>
  </r>
  <r>
    <s v="Jacksonville State"/>
    <x v="7"/>
    <x v="1"/>
    <n v="4"/>
    <n v="20"/>
    <n v="5"/>
    <m/>
    <m/>
    <x v="0"/>
    <x v="0"/>
    <x v="0"/>
    <n v="0"/>
    <x v="0"/>
  </r>
  <r>
    <s v="Kennesaw State"/>
    <x v="7"/>
    <x v="0"/>
    <n v="9"/>
    <n v="45"/>
    <n v="5"/>
    <m/>
    <m/>
    <x v="0"/>
    <x v="0"/>
    <x v="0"/>
    <n v="0"/>
    <x v="0"/>
  </r>
  <r>
    <s v="Kennesaw State"/>
    <x v="7"/>
    <x v="1"/>
    <n v="3"/>
    <n v="15"/>
    <n v="5"/>
    <m/>
    <m/>
    <x v="0"/>
    <x v="0"/>
    <x v="0"/>
    <n v="0"/>
    <x v="0"/>
  </r>
  <r>
    <s v="Kentucky"/>
    <x v="2"/>
    <x v="0"/>
    <n v="6"/>
    <n v="30"/>
    <n v="5"/>
    <m/>
    <m/>
    <x v="0"/>
    <x v="0"/>
    <x v="0"/>
    <n v="0"/>
    <x v="0"/>
  </r>
  <r>
    <s v="LSU"/>
    <x v="2"/>
    <x v="1"/>
    <n v="2"/>
    <n v="10"/>
    <n v="5"/>
    <m/>
    <m/>
    <x v="0"/>
    <x v="0"/>
    <x v="0"/>
    <n v="0"/>
    <x v="0"/>
  </r>
  <r>
    <s v="La Tech"/>
    <x v="7"/>
    <x v="0"/>
    <n v="7"/>
    <n v="35"/>
    <n v="5"/>
    <m/>
    <m/>
    <x v="0"/>
    <x v="0"/>
    <x v="0"/>
    <n v="0"/>
    <x v="0"/>
  </r>
  <r>
    <s v="La Tech"/>
    <x v="7"/>
    <x v="1"/>
    <n v="1"/>
    <n v="5"/>
    <n v="5"/>
    <m/>
    <m/>
    <x v="0"/>
    <x v="0"/>
    <x v="0"/>
    <n v="0"/>
    <x v="0"/>
  </r>
  <r>
    <s v="Liberty"/>
    <x v="7"/>
    <x v="1"/>
    <n v="4"/>
    <n v="20"/>
    <n v="5"/>
    <m/>
    <m/>
    <x v="0"/>
    <x v="0"/>
    <x v="0"/>
    <n v="0"/>
    <x v="0"/>
  </r>
  <r>
    <s v="Liberty"/>
    <x v="7"/>
    <x v="3"/>
    <n v="2"/>
    <n v="10"/>
    <n v="5"/>
    <m/>
    <m/>
    <x v="0"/>
    <x v="0"/>
    <x v="0"/>
    <n v="0"/>
    <x v="0"/>
  </r>
  <r>
    <s v="Louisiana"/>
    <x v="0"/>
    <x v="1"/>
    <n v="3"/>
    <n v="15"/>
    <n v="5"/>
    <m/>
    <m/>
    <x v="0"/>
    <x v="0"/>
    <x v="0"/>
    <n v="0"/>
    <x v="0"/>
  </r>
  <r>
    <s v="MTSU"/>
    <x v="7"/>
    <x v="1"/>
    <n v="6"/>
    <n v="30"/>
    <n v="5"/>
    <m/>
    <m/>
    <x v="0"/>
    <x v="0"/>
    <x v="0"/>
    <n v="0"/>
    <x v="0"/>
  </r>
  <r>
    <s v="Marshall"/>
    <x v="0"/>
    <x v="0"/>
    <n v="9"/>
    <n v="45"/>
    <n v="5"/>
    <m/>
    <m/>
    <x v="0"/>
    <x v="0"/>
    <x v="0"/>
    <n v="0"/>
    <x v="0"/>
  </r>
  <r>
    <s v="Marshall"/>
    <x v="0"/>
    <x v="1"/>
    <n v="1"/>
    <n v="5"/>
    <n v="5"/>
    <m/>
    <m/>
    <x v="0"/>
    <x v="0"/>
    <x v="0"/>
    <n v="0"/>
    <x v="0"/>
  </r>
  <r>
    <s v="Maryland"/>
    <x v="8"/>
    <x v="1"/>
    <n v="2"/>
    <n v="10"/>
    <n v="5"/>
    <m/>
    <m/>
    <x v="0"/>
    <x v="0"/>
    <x v="0"/>
    <n v="0"/>
    <x v="0"/>
  </r>
  <r>
    <s v="Memphis"/>
    <x v="6"/>
    <x v="1"/>
    <n v="2"/>
    <n v="10"/>
    <n v="5"/>
    <m/>
    <m/>
    <x v="0"/>
    <x v="0"/>
    <x v="0"/>
    <n v="0"/>
    <x v="0"/>
  </r>
  <r>
    <s v="Miami (OH)"/>
    <x v="3"/>
    <x v="0"/>
    <n v="12"/>
    <n v="60"/>
    <n v="5"/>
    <m/>
    <m/>
    <x v="0"/>
    <x v="0"/>
    <x v="0"/>
    <n v="0"/>
    <x v="0"/>
  </r>
  <r>
    <s v="Miami (OH)"/>
    <x v="3"/>
    <x v="3"/>
    <n v="7"/>
    <n v="35"/>
    <n v="5"/>
    <m/>
    <m/>
    <x v="0"/>
    <x v="0"/>
    <x v="0"/>
    <n v="0"/>
    <x v="0"/>
  </r>
  <r>
    <s v="Miami (OH)"/>
    <x v="3"/>
    <x v="1"/>
    <n v="5"/>
    <n v="25"/>
    <n v="5"/>
    <m/>
    <m/>
    <x v="0"/>
    <x v="0"/>
    <x v="0"/>
    <n v="0"/>
    <x v="0"/>
  </r>
  <r>
    <s v="Michigan State"/>
    <x v="8"/>
    <x v="1"/>
    <n v="3"/>
    <n v="15"/>
    <n v="5"/>
    <m/>
    <m/>
    <x v="0"/>
    <x v="0"/>
    <x v="0"/>
    <n v="0"/>
    <x v="0"/>
  </r>
  <r>
    <s v="Mississippi State"/>
    <x v="2"/>
    <x v="1"/>
    <n v="3"/>
    <n v="15"/>
    <n v="5"/>
    <m/>
    <m/>
    <x v="0"/>
    <x v="0"/>
    <x v="0"/>
    <n v="0"/>
    <x v="0"/>
  </r>
  <r>
    <s v="Missouri State"/>
    <x v="7"/>
    <x v="0"/>
    <n v="12"/>
    <n v="60"/>
    <n v="5"/>
    <m/>
    <m/>
    <x v="0"/>
    <x v="0"/>
    <x v="0"/>
    <n v="0"/>
    <x v="0"/>
  </r>
  <r>
    <s v="Missouri State"/>
    <x v="7"/>
    <x v="1"/>
    <n v="2"/>
    <n v="10"/>
    <n v="5"/>
    <m/>
    <m/>
    <x v="0"/>
    <x v="0"/>
    <x v="0"/>
    <n v="0"/>
    <x v="0"/>
  </r>
  <r>
    <s v="N Illinois"/>
    <x v="3"/>
    <x v="0"/>
    <n v="13"/>
    <n v="65"/>
    <n v="5"/>
    <m/>
    <m/>
    <x v="0"/>
    <x v="0"/>
    <x v="0"/>
    <n v="0"/>
    <x v="0"/>
  </r>
  <r>
    <s v="N Texas"/>
    <x v="6"/>
    <x v="1"/>
    <n v="1"/>
    <n v="5"/>
    <n v="5"/>
    <m/>
    <m/>
    <x v="0"/>
    <x v="0"/>
    <x v="0"/>
    <n v="0"/>
    <x v="0"/>
  </r>
  <r>
    <s v="N Texas"/>
    <x v="6"/>
    <x v="2"/>
    <n v="1"/>
    <n v="5"/>
    <n v="5"/>
    <m/>
    <m/>
    <x v="0"/>
    <x v="0"/>
    <x v="0"/>
    <n v="0"/>
    <x v="0"/>
  </r>
  <r>
    <s v="Navy"/>
    <x v="6"/>
    <x v="1"/>
    <n v="6"/>
    <n v="30"/>
    <n v="5"/>
    <m/>
    <m/>
    <x v="0"/>
    <x v="0"/>
    <x v="0"/>
    <n v="0"/>
    <x v="0"/>
  </r>
  <r>
    <s v="New Mexico"/>
    <x v="4"/>
    <x v="1"/>
    <n v="4"/>
    <n v="20"/>
    <n v="5"/>
    <m/>
    <m/>
    <x v="0"/>
    <x v="0"/>
    <x v="0"/>
    <n v="0"/>
    <x v="0"/>
  </r>
  <r>
    <s v="New Mexico State"/>
    <x v="7"/>
    <x v="1"/>
    <n v="1"/>
    <n v="5"/>
    <n v="5"/>
    <m/>
    <m/>
    <x v="0"/>
    <x v="0"/>
    <x v="0"/>
    <n v="0"/>
    <x v="0"/>
  </r>
  <r>
    <s v="ODU"/>
    <x v="0"/>
    <x v="1"/>
    <n v="1"/>
    <n v="5"/>
    <n v="5"/>
    <m/>
    <m/>
    <x v="0"/>
    <x v="0"/>
    <x v="0"/>
    <n v="0"/>
    <x v="0"/>
  </r>
  <r>
    <s v="Ohio"/>
    <x v="3"/>
    <x v="1"/>
    <n v="7"/>
    <n v="35"/>
    <n v="5"/>
    <m/>
    <m/>
    <x v="0"/>
    <x v="0"/>
    <x v="0"/>
    <n v="0"/>
    <x v="0"/>
  </r>
  <r>
    <s v="Oklahoma State"/>
    <x v="1"/>
    <x v="1"/>
    <n v="3"/>
    <n v="15"/>
    <n v="5"/>
    <m/>
    <m/>
    <x v="0"/>
    <x v="0"/>
    <x v="0"/>
    <n v="0"/>
    <x v="0"/>
  </r>
  <r>
    <s v="Oregon State"/>
    <x v="9"/>
    <x v="0"/>
    <n v="12"/>
    <n v="60"/>
    <n v="5"/>
    <m/>
    <m/>
    <x v="0"/>
    <x v="0"/>
    <x v="0"/>
    <n v="0"/>
    <x v="0"/>
  </r>
  <r>
    <s v="Oregon State"/>
    <x v="9"/>
    <x v="1"/>
    <n v="4"/>
    <n v="20"/>
    <n v="5"/>
    <m/>
    <m/>
    <x v="0"/>
    <x v="0"/>
    <x v="0"/>
    <n v="0"/>
    <x v="0"/>
  </r>
  <r>
    <s v="Penn State"/>
    <x v="8"/>
    <x v="1"/>
    <n v="1"/>
    <n v="5"/>
    <n v="5"/>
    <m/>
    <m/>
    <x v="0"/>
    <x v="0"/>
    <x v="0"/>
    <n v="0"/>
    <x v="0"/>
  </r>
  <r>
    <s v="Purdue"/>
    <x v="8"/>
    <x v="0"/>
    <n v="5"/>
    <n v="25"/>
    <n v="5"/>
    <m/>
    <m/>
    <x v="0"/>
    <x v="0"/>
    <x v="0"/>
    <n v="0"/>
    <x v="0"/>
  </r>
  <r>
    <s v="Rice"/>
    <x v="6"/>
    <x v="4"/>
    <n v="1"/>
    <n v="5"/>
    <n v="5"/>
    <m/>
    <m/>
    <x v="0"/>
    <x v="0"/>
    <x v="0"/>
    <n v="0"/>
    <x v="0"/>
  </r>
  <r>
    <s v="Rutgers"/>
    <x v="8"/>
    <x v="1"/>
    <n v="4"/>
    <n v="20"/>
    <n v="5"/>
    <m/>
    <m/>
    <x v="0"/>
    <x v="0"/>
    <x v="0"/>
    <n v="0"/>
    <x v="0"/>
  </r>
  <r>
    <s v="S Alabama"/>
    <x v="0"/>
    <x v="1"/>
    <n v="4"/>
    <n v="20"/>
    <n v="5"/>
    <m/>
    <m/>
    <x v="0"/>
    <x v="0"/>
    <x v="0"/>
    <n v="0"/>
    <x v="0"/>
  </r>
  <r>
    <s v="SMU"/>
    <x v="5"/>
    <x v="3"/>
    <n v="6"/>
    <n v="30"/>
    <n v="5"/>
    <m/>
    <m/>
    <x v="0"/>
    <x v="0"/>
    <x v="0"/>
    <n v="0"/>
    <x v="0"/>
  </r>
  <r>
    <s v="SMU"/>
    <x v="5"/>
    <x v="0"/>
    <n v="4"/>
    <n v="20"/>
    <n v="5"/>
    <m/>
    <m/>
    <x v="0"/>
    <x v="0"/>
    <x v="0"/>
    <n v="0"/>
    <x v="0"/>
  </r>
  <r>
    <s v="SMU"/>
    <x v="5"/>
    <x v="1"/>
    <n v="1"/>
    <n v="5"/>
    <n v="5"/>
    <m/>
    <m/>
    <x v="0"/>
    <x v="0"/>
    <x v="0"/>
    <n v="0"/>
    <x v="0"/>
  </r>
  <r>
    <s v="Sam Houston"/>
    <x v="7"/>
    <x v="1"/>
    <n v="8"/>
    <n v="40"/>
    <n v="5"/>
    <m/>
    <m/>
    <x v="0"/>
    <x v="0"/>
    <x v="0"/>
    <n v="0"/>
    <x v="0"/>
  </r>
  <r>
    <s v="Sam Houston"/>
    <x v="7"/>
    <x v="0"/>
    <n v="7"/>
    <n v="35"/>
    <n v="5"/>
    <m/>
    <m/>
    <x v="0"/>
    <x v="0"/>
    <x v="0"/>
    <n v="0"/>
    <x v="0"/>
  </r>
  <r>
    <s v="San Diego State"/>
    <x v="4"/>
    <x v="0"/>
    <n v="10"/>
    <n v="50"/>
    <n v="5"/>
    <m/>
    <m/>
    <x v="0"/>
    <x v="0"/>
    <x v="0"/>
    <n v="0"/>
    <x v="0"/>
  </r>
  <r>
    <s v="South Carolina"/>
    <x v="2"/>
    <x v="1"/>
    <n v="3"/>
    <n v="15"/>
    <n v="5"/>
    <m/>
    <m/>
    <x v="0"/>
    <x v="0"/>
    <x v="0"/>
    <n v="0"/>
    <x v="0"/>
  </r>
  <r>
    <s v="Southern Miss"/>
    <x v="0"/>
    <x v="0"/>
    <n v="11"/>
    <n v="55"/>
    <n v="5"/>
    <m/>
    <m/>
    <x v="0"/>
    <x v="0"/>
    <x v="0"/>
    <n v="0"/>
    <x v="0"/>
  </r>
  <r>
    <s v="Syracuse"/>
    <x v="5"/>
    <x v="0"/>
    <n v="13"/>
    <n v="65"/>
    <n v="5"/>
    <m/>
    <m/>
    <x v="0"/>
    <x v="0"/>
    <x v="0"/>
    <n v="0"/>
    <x v="0"/>
  </r>
  <r>
    <s v="Syracuse"/>
    <x v="5"/>
    <x v="1"/>
    <n v="7"/>
    <n v="35"/>
    <n v="5"/>
    <m/>
    <m/>
    <x v="0"/>
    <x v="0"/>
    <x v="0"/>
    <n v="0"/>
    <x v="0"/>
  </r>
  <r>
    <s v="TCU"/>
    <x v="1"/>
    <x v="1"/>
    <n v="1"/>
    <n v="5"/>
    <n v="5"/>
    <m/>
    <m/>
    <x v="0"/>
    <x v="0"/>
    <x v="0"/>
    <n v="0"/>
    <x v="0"/>
  </r>
  <r>
    <s v="Temple"/>
    <x v="6"/>
    <x v="0"/>
    <n v="5"/>
    <n v="25"/>
    <n v="5"/>
    <m/>
    <m/>
    <x v="0"/>
    <x v="0"/>
    <x v="0"/>
    <n v="0"/>
    <x v="0"/>
  </r>
  <r>
    <s v="Toledo"/>
    <x v="3"/>
    <x v="1"/>
    <n v="4"/>
    <n v="20"/>
    <n v="5"/>
    <m/>
    <m/>
    <x v="0"/>
    <x v="0"/>
    <x v="0"/>
    <n v="0"/>
    <x v="0"/>
  </r>
  <r>
    <s v="Troy"/>
    <x v="0"/>
    <x v="1"/>
    <n v="2"/>
    <n v="10"/>
    <n v="5"/>
    <m/>
    <m/>
    <x v="0"/>
    <x v="0"/>
    <x v="0"/>
    <n v="0"/>
    <x v="0"/>
  </r>
  <r>
    <s v="Tulane"/>
    <x v="6"/>
    <x v="1"/>
    <n v="2"/>
    <n v="10"/>
    <n v="5"/>
    <m/>
    <m/>
    <x v="0"/>
    <x v="0"/>
    <x v="0"/>
    <n v="0"/>
    <x v="0"/>
  </r>
  <r>
    <s v="Tulsa"/>
    <x v="6"/>
    <x v="0"/>
    <n v="9"/>
    <n v="45"/>
    <n v="5"/>
    <m/>
    <m/>
    <x v="0"/>
    <x v="0"/>
    <x v="0"/>
    <n v="0"/>
    <x v="0"/>
  </r>
  <r>
    <s v="UAB"/>
    <x v="6"/>
    <x v="1"/>
    <n v="3"/>
    <n v="15"/>
    <n v="5"/>
    <m/>
    <m/>
    <x v="0"/>
    <x v="0"/>
    <x v="0"/>
    <n v="0"/>
    <x v="0"/>
  </r>
  <r>
    <s v="UCF"/>
    <x v="1"/>
    <x v="4"/>
    <n v="1"/>
    <n v="5"/>
    <n v="5"/>
    <m/>
    <m/>
    <x v="0"/>
    <x v="0"/>
    <x v="0"/>
    <n v="0"/>
    <x v="0"/>
  </r>
  <r>
    <s v="UConn"/>
    <x v="10"/>
    <x v="0"/>
    <n v="6"/>
    <n v="30"/>
    <n v="5"/>
    <m/>
    <m/>
    <x v="0"/>
    <x v="0"/>
    <x v="0"/>
    <n v="0"/>
    <x v="0"/>
  </r>
  <r>
    <s v="UMass"/>
    <x v="3"/>
    <x v="3"/>
    <n v="2"/>
    <n v="10"/>
    <n v="5"/>
    <m/>
    <m/>
    <x v="0"/>
    <x v="0"/>
    <x v="0"/>
    <n v="0"/>
    <x v="0"/>
  </r>
  <r>
    <s v="UNLV"/>
    <x v="4"/>
    <x v="1"/>
    <n v="2"/>
    <n v="10"/>
    <n v="5"/>
    <m/>
    <m/>
    <x v="0"/>
    <x v="0"/>
    <x v="0"/>
    <n v="0"/>
    <x v="0"/>
  </r>
  <r>
    <s v="USF"/>
    <x v="6"/>
    <x v="0"/>
    <n v="7"/>
    <n v="35"/>
    <n v="5"/>
    <m/>
    <m/>
    <x v="0"/>
    <x v="0"/>
    <x v="0"/>
    <n v="0"/>
    <x v="0"/>
  </r>
  <r>
    <s v="USF"/>
    <x v="6"/>
    <x v="3"/>
    <n v="4"/>
    <n v="20"/>
    <n v="5"/>
    <m/>
    <m/>
    <x v="0"/>
    <x v="0"/>
    <x v="0"/>
    <n v="0"/>
    <x v="0"/>
  </r>
  <r>
    <s v="UTSA"/>
    <x v="6"/>
    <x v="1"/>
    <n v="2"/>
    <n v="10"/>
    <n v="5"/>
    <m/>
    <m/>
    <x v="0"/>
    <x v="0"/>
    <x v="0"/>
    <n v="0"/>
    <x v="0"/>
  </r>
  <r>
    <s v="Utah State"/>
    <x v="4"/>
    <x v="1"/>
    <n v="4"/>
    <n v="20"/>
    <n v="5"/>
    <m/>
    <m/>
    <x v="0"/>
    <x v="0"/>
    <x v="0"/>
    <n v="0"/>
    <x v="0"/>
  </r>
  <r>
    <s v="Virginia Tech"/>
    <x v="5"/>
    <x v="1"/>
    <n v="4"/>
    <n v="20"/>
    <n v="5"/>
    <m/>
    <m/>
    <x v="0"/>
    <x v="0"/>
    <x v="0"/>
    <n v="0"/>
    <x v="0"/>
  </r>
  <r>
    <s v="Virginia Tech"/>
    <x v="5"/>
    <x v="2"/>
    <n v="1"/>
    <n v="5"/>
    <n v="5"/>
    <m/>
    <m/>
    <x v="0"/>
    <x v="0"/>
    <x v="0"/>
    <n v="0"/>
    <x v="0"/>
  </r>
  <r>
    <s v="W Michigan"/>
    <x v="3"/>
    <x v="3"/>
    <n v="2"/>
    <n v="10"/>
    <n v="5"/>
    <m/>
    <m/>
    <x v="0"/>
    <x v="0"/>
    <x v="0"/>
    <n v="0"/>
    <x v="0"/>
  </r>
  <r>
    <s v="Wake Forest"/>
    <x v="5"/>
    <x v="1"/>
    <n v="1"/>
    <n v="5"/>
    <n v="5"/>
    <m/>
    <m/>
    <x v="0"/>
    <x v="0"/>
    <x v="0"/>
    <n v="0"/>
    <x v="0"/>
  </r>
  <r>
    <s v="Washington State"/>
    <x v="9"/>
    <x v="1"/>
    <n v="4"/>
    <n v="20"/>
    <n v="5"/>
    <m/>
    <m/>
    <x v="0"/>
    <x v="0"/>
    <x v="0"/>
    <n v="0"/>
    <x v="0"/>
  </r>
  <r>
    <s v="West Virginia"/>
    <x v="1"/>
    <x v="0"/>
    <n v="16"/>
    <n v="80"/>
    <n v="5"/>
    <m/>
    <m/>
    <x v="0"/>
    <x v="0"/>
    <x v="0"/>
    <n v="0"/>
    <x v="0"/>
  </r>
  <r>
    <s v="West Virginia"/>
    <x v="1"/>
    <x v="1"/>
    <n v="1"/>
    <n v="5"/>
    <n v="5"/>
    <m/>
    <m/>
    <x v="0"/>
    <x v="0"/>
    <x v="0"/>
    <n v="0"/>
    <x v="0"/>
  </r>
  <r>
    <s v="Wisconsin"/>
    <x v="8"/>
    <x v="0"/>
    <n v="6"/>
    <n v="30"/>
    <n v="5"/>
    <m/>
    <m/>
    <x v="0"/>
    <x v="0"/>
    <x v="0"/>
    <n v="0"/>
    <x v="0"/>
  </r>
  <r>
    <s v="App State"/>
    <x v="0"/>
    <x v="5"/>
    <n v="1"/>
    <n v="5"/>
    <n v="5"/>
    <m/>
    <m/>
    <x v="0"/>
    <x v="1"/>
    <x v="0"/>
    <n v="0"/>
    <x v="0"/>
  </r>
  <r>
    <s v="Ball State"/>
    <x v="3"/>
    <x v="5"/>
    <n v="3"/>
    <n v="15"/>
    <n v="5"/>
    <m/>
    <m/>
    <x v="0"/>
    <x v="1"/>
    <x v="0"/>
    <n v="0"/>
    <x v="0"/>
  </r>
  <r>
    <s v="Bowling Green"/>
    <x v="3"/>
    <x v="6"/>
    <n v="3"/>
    <n v="15"/>
    <n v="5"/>
    <m/>
    <m/>
    <x v="0"/>
    <x v="2"/>
    <x v="0"/>
    <n v="0"/>
    <x v="0"/>
  </r>
  <r>
    <s v="Clemson"/>
    <x v="5"/>
    <x v="6"/>
    <n v="3"/>
    <n v="15"/>
    <n v="5"/>
    <m/>
    <m/>
    <x v="0"/>
    <x v="2"/>
    <x v="0"/>
    <n v="0"/>
    <x v="0"/>
  </r>
  <r>
    <s v="Kent State"/>
    <x v="3"/>
    <x v="7"/>
    <n v="3"/>
    <n v="15"/>
    <n v="5"/>
    <m/>
    <m/>
    <x v="0"/>
    <x v="3"/>
    <x v="0"/>
    <n v="0"/>
    <x v="0"/>
  </r>
  <r>
    <s v="Memphis"/>
    <x v="6"/>
    <x v="6"/>
    <n v="1"/>
    <n v="5"/>
    <n v="5"/>
    <m/>
    <m/>
    <x v="0"/>
    <x v="2"/>
    <x v="0"/>
    <n v="0"/>
    <x v="0"/>
  </r>
  <r>
    <s v="Minnesota"/>
    <x v="8"/>
    <x v="5"/>
    <n v="2"/>
    <n v="10"/>
    <n v="5"/>
    <m/>
    <m/>
    <x v="0"/>
    <x v="1"/>
    <x v="0"/>
    <n v="0"/>
    <x v="0"/>
  </r>
  <r>
    <s v="Mississippi State"/>
    <x v="2"/>
    <x v="8"/>
    <n v="1"/>
    <n v="5"/>
    <n v="5"/>
    <m/>
    <m/>
    <x v="0"/>
    <x v="2"/>
    <x v="0"/>
    <n v="0"/>
    <x v="0"/>
  </r>
  <r>
    <s v="NC State"/>
    <x v="5"/>
    <x v="5"/>
    <n v="3"/>
    <n v="15"/>
    <n v="5"/>
    <m/>
    <m/>
    <x v="0"/>
    <x v="1"/>
    <x v="0"/>
    <n v="0"/>
    <x v="0"/>
  </r>
  <r>
    <s v="Navy"/>
    <x v="6"/>
    <x v="9"/>
    <n v="1"/>
    <n v="5"/>
    <n v="5"/>
    <m/>
    <m/>
    <x v="0"/>
    <x v="1"/>
    <x v="0"/>
    <n v="0"/>
    <x v="0"/>
  </r>
  <r>
    <s v="Nevada"/>
    <x v="4"/>
    <x v="5"/>
    <n v="3"/>
    <n v="15"/>
    <n v="5"/>
    <m/>
    <m/>
    <x v="0"/>
    <x v="1"/>
    <x v="0"/>
    <n v="0"/>
    <x v="0"/>
  </r>
  <r>
    <s v="New Mexico"/>
    <x v="4"/>
    <x v="10"/>
    <n v="4"/>
    <n v="20"/>
    <n v="5"/>
    <m/>
    <m/>
    <x v="0"/>
    <x v="2"/>
    <x v="0"/>
    <n v="0"/>
    <x v="0"/>
  </r>
  <r>
    <s v="Ohio"/>
    <x v="3"/>
    <x v="8"/>
    <n v="1"/>
    <n v="5"/>
    <n v="5"/>
    <m/>
    <m/>
    <x v="0"/>
    <x v="2"/>
    <x v="0"/>
    <n v="0"/>
    <x v="0"/>
  </r>
  <r>
    <s v="Troy"/>
    <x v="0"/>
    <x v="6"/>
    <n v="3"/>
    <n v="15"/>
    <n v="5"/>
    <m/>
    <m/>
    <x v="0"/>
    <x v="2"/>
    <x v="0"/>
    <n v="0"/>
    <x v="0"/>
  </r>
  <r>
    <s v="USF"/>
    <x v="6"/>
    <x v="10"/>
    <n v="6"/>
    <n v="30"/>
    <n v="5"/>
    <m/>
    <m/>
    <x v="0"/>
    <x v="2"/>
    <x v="0"/>
    <n v="0"/>
    <x v="0"/>
  </r>
  <r>
    <s v="Virginia Tech"/>
    <x v="5"/>
    <x v="6"/>
    <n v="1"/>
    <n v="5"/>
    <n v="5"/>
    <m/>
    <m/>
    <x v="0"/>
    <x v="2"/>
    <x v="0"/>
    <n v="0"/>
    <x v="0"/>
  </r>
  <r>
    <s v="Arkansas State"/>
    <x v="0"/>
    <x v="11"/>
    <n v="2"/>
    <n v="0"/>
    <n v="0"/>
    <m/>
    <m/>
    <x v="0"/>
    <x v="2"/>
    <x v="1"/>
    <n v="1"/>
    <x v="1"/>
  </r>
  <r>
    <s v="Auburn"/>
    <x v="2"/>
    <x v="10"/>
    <n v="2"/>
    <n v="0"/>
    <n v="0"/>
    <m/>
    <m/>
    <x v="0"/>
    <x v="2"/>
    <x v="1"/>
    <n v="1"/>
    <x v="1"/>
  </r>
  <r>
    <s v="Boston College"/>
    <x v="5"/>
    <x v="7"/>
    <n v="5"/>
    <n v="0"/>
    <n v="0"/>
    <m/>
    <m/>
    <x v="0"/>
    <x v="3"/>
    <x v="1"/>
    <n v="1"/>
    <x v="1"/>
  </r>
  <r>
    <s v="Bowling Green"/>
    <x v="3"/>
    <x v="10"/>
    <n v="2"/>
    <n v="0"/>
    <n v="0"/>
    <m/>
    <m/>
    <x v="0"/>
    <x v="2"/>
    <x v="1"/>
    <n v="1"/>
    <x v="1"/>
  </r>
  <r>
    <s v="Buffalo"/>
    <x v="3"/>
    <x v="2"/>
    <n v="2"/>
    <n v="0"/>
    <n v="0"/>
    <m/>
    <m/>
    <x v="0"/>
    <x v="0"/>
    <x v="1"/>
    <n v="1"/>
    <x v="1"/>
  </r>
  <r>
    <s v="East Carolina"/>
    <x v="6"/>
    <x v="10"/>
    <n v="2"/>
    <n v="0"/>
    <n v="0"/>
    <m/>
    <m/>
    <x v="0"/>
    <x v="2"/>
    <x v="1"/>
    <n v="1"/>
    <x v="1"/>
  </r>
  <r>
    <s v="Houston"/>
    <x v="1"/>
    <x v="12"/>
    <n v="2"/>
    <n v="0"/>
    <n v="0"/>
    <m/>
    <m/>
    <x v="0"/>
    <x v="2"/>
    <x v="1"/>
    <n v="1"/>
    <x v="1"/>
  </r>
  <r>
    <s v="Jacksonville State"/>
    <x v="7"/>
    <x v="6"/>
    <n v="2"/>
    <n v="0"/>
    <n v="0"/>
    <m/>
    <m/>
    <x v="0"/>
    <x v="2"/>
    <x v="1"/>
    <n v="1"/>
    <x v="1"/>
  </r>
  <r>
    <s v="Maryland"/>
    <x v="8"/>
    <x v="10"/>
    <n v="3"/>
    <n v="0"/>
    <n v="0"/>
    <m/>
    <m/>
    <x v="0"/>
    <x v="2"/>
    <x v="1"/>
    <n v="1"/>
    <x v="1"/>
  </r>
  <r>
    <s v="ODU"/>
    <x v="0"/>
    <x v="6"/>
    <n v="2"/>
    <n v="0"/>
    <n v="0"/>
    <m/>
    <m/>
    <x v="0"/>
    <x v="2"/>
    <x v="1"/>
    <n v="1"/>
    <x v="1"/>
  </r>
  <r>
    <s v="Oklahoma State"/>
    <x v="1"/>
    <x v="13"/>
    <n v="9"/>
    <n v="0"/>
    <n v="0"/>
    <m/>
    <m/>
    <x v="0"/>
    <x v="4"/>
    <x v="1"/>
    <n v="1"/>
    <x v="1"/>
  </r>
  <r>
    <s v="Rutgers"/>
    <x v="8"/>
    <x v="10"/>
    <n v="2"/>
    <n v="0"/>
    <n v="0"/>
    <m/>
    <m/>
    <x v="0"/>
    <x v="2"/>
    <x v="1"/>
    <n v="1"/>
    <x v="1"/>
  </r>
  <r>
    <s v="Sam Houston"/>
    <x v="7"/>
    <x v="10"/>
    <n v="4"/>
    <n v="0"/>
    <n v="0"/>
    <m/>
    <m/>
    <x v="0"/>
    <x v="2"/>
    <x v="1"/>
    <n v="1"/>
    <x v="1"/>
  </r>
  <r>
    <s v="TCU"/>
    <x v="1"/>
    <x v="10"/>
    <n v="3"/>
    <n v="0"/>
    <n v="0"/>
    <m/>
    <m/>
    <x v="0"/>
    <x v="2"/>
    <x v="1"/>
    <n v="1"/>
    <x v="1"/>
  </r>
  <r>
    <s v="Texas State"/>
    <x v="0"/>
    <x v="3"/>
    <n v="2"/>
    <n v="0"/>
    <n v="0"/>
    <m/>
    <m/>
    <x v="0"/>
    <x v="0"/>
    <x v="1"/>
    <n v="1"/>
    <x v="1"/>
  </r>
  <r>
    <s v="Toledo"/>
    <x v="3"/>
    <x v="6"/>
    <n v="3"/>
    <n v="0"/>
    <n v="0"/>
    <m/>
    <m/>
    <x v="0"/>
    <x v="2"/>
    <x v="1"/>
    <n v="1"/>
    <x v="1"/>
  </r>
  <r>
    <s v="Tulane"/>
    <x v="6"/>
    <x v="6"/>
    <n v="2"/>
    <n v="0"/>
    <n v="0"/>
    <m/>
    <m/>
    <x v="0"/>
    <x v="2"/>
    <x v="1"/>
    <n v="1"/>
    <x v="1"/>
  </r>
  <r>
    <s v="Utah State"/>
    <x v="4"/>
    <x v="10"/>
    <n v="2"/>
    <n v="0"/>
    <n v="0"/>
    <m/>
    <m/>
    <x v="0"/>
    <x v="2"/>
    <x v="1"/>
    <n v="1"/>
    <x v="1"/>
  </r>
  <r>
    <s v="Virginia Tech"/>
    <x v="5"/>
    <x v="10"/>
    <n v="5"/>
    <n v="0"/>
    <n v="0"/>
    <m/>
    <m/>
    <x v="0"/>
    <x v="2"/>
    <x v="1"/>
    <n v="1"/>
    <x v="1"/>
  </r>
  <r>
    <s v="WKU"/>
    <x v="7"/>
    <x v="12"/>
    <n v="2"/>
    <n v="0"/>
    <n v="0"/>
    <m/>
    <m/>
    <x v="0"/>
    <x v="2"/>
    <x v="1"/>
    <n v="1"/>
    <x v="1"/>
  </r>
  <r>
    <s v="WKU"/>
    <x v="7"/>
    <x v="6"/>
    <n v="2"/>
    <n v="0"/>
    <n v="0"/>
    <m/>
    <m/>
    <x v="0"/>
    <x v="2"/>
    <x v="1"/>
    <n v="1"/>
    <x v="1"/>
  </r>
  <r>
    <s v="Washington"/>
    <x v="8"/>
    <x v="3"/>
    <n v="3"/>
    <n v="0"/>
    <n v="0"/>
    <m/>
    <m/>
    <x v="0"/>
    <x v="0"/>
    <x v="1"/>
    <n v="1"/>
    <x v="1"/>
  </r>
  <r>
    <s v="West Virginia"/>
    <x v="1"/>
    <x v="10"/>
    <n v="3"/>
    <n v="0"/>
    <n v="0"/>
    <m/>
    <m/>
    <x v="0"/>
    <x v="2"/>
    <x v="1"/>
    <n v="1"/>
    <x v="1"/>
  </r>
  <r>
    <s v="Air Force"/>
    <x v="4"/>
    <x v="6"/>
    <n v="1"/>
    <n v="0"/>
    <n v="0"/>
    <m/>
    <m/>
    <x v="0"/>
    <x v="2"/>
    <x v="1"/>
    <n v="1"/>
    <x v="1"/>
  </r>
  <r>
    <s v="Arizona"/>
    <x v="1"/>
    <x v="10"/>
    <n v="1"/>
    <n v="0"/>
    <n v="0"/>
    <m/>
    <m/>
    <x v="0"/>
    <x v="2"/>
    <x v="1"/>
    <n v="1"/>
    <x v="1"/>
  </r>
  <r>
    <s v="Arizona State"/>
    <x v="1"/>
    <x v="11"/>
    <n v="1"/>
    <n v="0"/>
    <n v="0"/>
    <m/>
    <m/>
    <x v="0"/>
    <x v="2"/>
    <x v="1"/>
    <n v="1"/>
    <x v="1"/>
  </r>
  <r>
    <s v="Baylor"/>
    <x v="1"/>
    <x v="12"/>
    <n v="1"/>
    <n v="0"/>
    <n v="0"/>
    <m/>
    <m/>
    <x v="0"/>
    <x v="2"/>
    <x v="1"/>
    <n v="1"/>
    <x v="1"/>
  </r>
  <r>
    <s v="Baylor"/>
    <x v="1"/>
    <x v="6"/>
    <n v="1"/>
    <n v="0"/>
    <n v="0"/>
    <m/>
    <m/>
    <x v="0"/>
    <x v="2"/>
    <x v="1"/>
    <n v="1"/>
    <x v="1"/>
  </r>
  <r>
    <s v="Boston College"/>
    <x v="5"/>
    <x v="11"/>
    <n v="1"/>
    <n v="0"/>
    <n v="0"/>
    <m/>
    <m/>
    <x v="0"/>
    <x v="2"/>
    <x v="1"/>
    <n v="1"/>
    <x v="1"/>
  </r>
  <r>
    <s v="Buffalo"/>
    <x v="3"/>
    <x v="6"/>
    <n v="1"/>
    <n v="0"/>
    <n v="0"/>
    <m/>
    <m/>
    <x v="0"/>
    <x v="2"/>
    <x v="1"/>
    <n v="1"/>
    <x v="1"/>
  </r>
  <r>
    <s v="C Michigan"/>
    <x v="3"/>
    <x v="11"/>
    <n v="1"/>
    <n v="0"/>
    <n v="0"/>
    <m/>
    <m/>
    <x v="0"/>
    <x v="2"/>
    <x v="1"/>
    <n v="1"/>
    <x v="1"/>
  </r>
  <r>
    <s v="California"/>
    <x v="5"/>
    <x v="6"/>
    <n v="1"/>
    <n v="0"/>
    <n v="0"/>
    <m/>
    <m/>
    <x v="0"/>
    <x v="2"/>
    <x v="1"/>
    <n v="1"/>
    <x v="1"/>
  </r>
  <r>
    <s v="Charlotte"/>
    <x v="6"/>
    <x v="11"/>
    <n v="1"/>
    <n v="0"/>
    <n v="0"/>
    <m/>
    <m/>
    <x v="0"/>
    <x v="2"/>
    <x v="1"/>
    <n v="1"/>
    <x v="1"/>
  </r>
  <r>
    <s v="Charlotte"/>
    <x v="6"/>
    <x v="12"/>
    <n v="1"/>
    <n v="0"/>
    <n v="0"/>
    <m/>
    <m/>
    <x v="0"/>
    <x v="2"/>
    <x v="1"/>
    <n v="1"/>
    <x v="1"/>
  </r>
  <r>
    <s v="Clemson"/>
    <x v="5"/>
    <x v="10"/>
    <n v="1"/>
    <n v="0"/>
    <n v="0"/>
    <m/>
    <m/>
    <x v="0"/>
    <x v="2"/>
    <x v="1"/>
    <n v="1"/>
    <x v="1"/>
  </r>
  <r>
    <s v="Coastal Carolina"/>
    <x v="0"/>
    <x v="4"/>
    <n v="1"/>
    <n v="0"/>
    <n v="0"/>
    <m/>
    <m/>
    <x v="0"/>
    <x v="0"/>
    <x v="1"/>
    <n v="1"/>
    <x v="1"/>
  </r>
  <r>
    <s v="Coastal Carolina"/>
    <x v="0"/>
    <x v="6"/>
    <n v="1"/>
    <n v="0"/>
    <n v="0"/>
    <m/>
    <m/>
    <x v="0"/>
    <x v="2"/>
    <x v="1"/>
    <n v="1"/>
    <x v="1"/>
  </r>
  <r>
    <s v="Duke"/>
    <x v="5"/>
    <x v="12"/>
    <n v="1"/>
    <n v="0"/>
    <n v="0"/>
    <m/>
    <m/>
    <x v="0"/>
    <x v="2"/>
    <x v="1"/>
    <n v="1"/>
    <x v="1"/>
  </r>
  <r>
    <s v="E Michigan"/>
    <x v="3"/>
    <x v="2"/>
    <n v="1"/>
    <n v="0"/>
    <n v="0"/>
    <m/>
    <m/>
    <x v="0"/>
    <x v="0"/>
    <x v="1"/>
    <n v="1"/>
    <x v="1"/>
  </r>
  <r>
    <s v="FAU"/>
    <x v="6"/>
    <x v="2"/>
    <n v="1"/>
    <n v="0"/>
    <n v="0"/>
    <m/>
    <m/>
    <x v="0"/>
    <x v="0"/>
    <x v="1"/>
    <n v="1"/>
    <x v="1"/>
  </r>
  <r>
    <s v="FAU"/>
    <x v="6"/>
    <x v="12"/>
    <n v="1"/>
    <n v="0"/>
    <n v="0"/>
    <m/>
    <m/>
    <x v="0"/>
    <x v="2"/>
    <x v="1"/>
    <n v="1"/>
    <x v="1"/>
  </r>
  <r>
    <s v="Florida State"/>
    <x v="5"/>
    <x v="8"/>
    <n v="1"/>
    <n v="0"/>
    <n v="0"/>
    <m/>
    <m/>
    <x v="0"/>
    <x v="2"/>
    <x v="1"/>
    <n v="1"/>
    <x v="1"/>
  </r>
  <r>
    <s v="Florida State"/>
    <x v="5"/>
    <x v="6"/>
    <n v="1"/>
    <n v="0"/>
    <n v="0"/>
    <m/>
    <m/>
    <x v="0"/>
    <x v="2"/>
    <x v="1"/>
    <n v="1"/>
    <x v="1"/>
  </r>
  <r>
    <s v="Georgia Southern"/>
    <x v="0"/>
    <x v="12"/>
    <n v="1"/>
    <n v="0"/>
    <n v="0"/>
    <m/>
    <m/>
    <x v="0"/>
    <x v="2"/>
    <x v="1"/>
    <n v="1"/>
    <x v="1"/>
  </r>
  <r>
    <s v="Hawai'i"/>
    <x v="4"/>
    <x v="2"/>
    <n v="1"/>
    <n v="0"/>
    <n v="0"/>
    <m/>
    <m/>
    <x v="0"/>
    <x v="0"/>
    <x v="1"/>
    <n v="1"/>
    <x v="1"/>
  </r>
  <r>
    <s v="Houston"/>
    <x v="1"/>
    <x v="10"/>
    <n v="1"/>
    <n v="0"/>
    <n v="0"/>
    <m/>
    <m/>
    <x v="0"/>
    <x v="2"/>
    <x v="1"/>
    <n v="1"/>
    <x v="1"/>
  </r>
  <r>
    <s v="J Madison"/>
    <x v="0"/>
    <x v="8"/>
    <n v="1"/>
    <n v="0"/>
    <n v="0"/>
    <m/>
    <m/>
    <x v="0"/>
    <x v="2"/>
    <x v="1"/>
    <n v="1"/>
    <x v="1"/>
  </r>
  <r>
    <s v="Kansas"/>
    <x v="1"/>
    <x v="12"/>
    <n v="1"/>
    <n v="0"/>
    <n v="0"/>
    <m/>
    <m/>
    <x v="0"/>
    <x v="2"/>
    <x v="1"/>
    <n v="1"/>
    <x v="1"/>
  </r>
  <r>
    <s v="Kansas State"/>
    <x v="1"/>
    <x v="10"/>
    <n v="1"/>
    <n v="0"/>
    <n v="0"/>
    <m/>
    <m/>
    <x v="0"/>
    <x v="2"/>
    <x v="1"/>
    <n v="1"/>
    <x v="1"/>
  </r>
  <r>
    <s v="Kent State"/>
    <x v="3"/>
    <x v="11"/>
    <n v="1"/>
    <n v="0"/>
    <n v="0"/>
    <m/>
    <m/>
    <x v="0"/>
    <x v="2"/>
    <x v="1"/>
    <n v="1"/>
    <x v="1"/>
  </r>
  <r>
    <s v="LSU"/>
    <x v="2"/>
    <x v="9"/>
    <n v="1"/>
    <n v="0"/>
    <n v="0"/>
    <m/>
    <m/>
    <x v="0"/>
    <x v="1"/>
    <x v="1"/>
    <n v="1"/>
    <x v="1"/>
  </r>
  <r>
    <s v="LSU"/>
    <x v="2"/>
    <x v="10"/>
    <n v="1"/>
    <n v="0"/>
    <n v="0"/>
    <m/>
    <m/>
    <x v="0"/>
    <x v="2"/>
    <x v="1"/>
    <n v="1"/>
    <x v="1"/>
  </r>
  <r>
    <s v="LSU"/>
    <x v="2"/>
    <x v="11"/>
    <n v="1"/>
    <n v="0"/>
    <n v="0"/>
    <m/>
    <m/>
    <x v="0"/>
    <x v="2"/>
    <x v="1"/>
    <n v="1"/>
    <x v="1"/>
  </r>
  <r>
    <s v="Louisiana"/>
    <x v="0"/>
    <x v="6"/>
    <n v="1"/>
    <n v="0"/>
    <n v="0"/>
    <m/>
    <m/>
    <x v="0"/>
    <x v="2"/>
    <x v="1"/>
    <n v="1"/>
    <x v="1"/>
  </r>
  <r>
    <s v="Michigan State"/>
    <x v="8"/>
    <x v="12"/>
    <n v="1"/>
    <n v="0"/>
    <n v="0"/>
    <m/>
    <m/>
    <x v="0"/>
    <x v="2"/>
    <x v="1"/>
    <n v="1"/>
    <x v="1"/>
  </r>
  <r>
    <s v="Mississippi State"/>
    <x v="2"/>
    <x v="11"/>
    <n v="1"/>
    <n v="0"/>
    <n v="0"/>
    <m/>
    <m/>
    <x v="0"/>
    <x v="2"/>
    <x v="1"/>
    <n v="1"/>
    <x v="1"/>
  </r>
  <r>
    <s v="N Illinois"/>
    <x v="3"/>
    <x v="6"/>
    <n v="1"/>
    <n v="0"/>
    <n v="0"/>
    <m/>
    <m/>
    <x v="0"/>
    <x v="2"/>
    <x v="1"/>
    <n v="1"/>
    <x v="1"/>
  </r>
  <r>
    <s v="Northwestern"/>
    <x v="8"/>
    <x v="11"/>
    <n v="1"/>
    <n v="0"/>
    <n v="0"/>
    <m/>
    <m/>
    <x v="0"/>
    <x v="2"/>
    <x v="1"/>
    <n v="1"/>
    <x v="1"/>
  </r>
  <r>
    <s v="Ohio"/>
    <x v="3"/>
    <x v="2"/>
    <n v="1"/>
    <n v="0"/>
    <n v="0"/>
    <m/>
    <m/>
    <x v="0"/>
    <x v="0"/>
    <x v="1"/>
    <n v="1"/>
    <x v="1"/>
  </r>
  <r>
    <s v="Oklahoma State"/>
    <x v="1"/>
    <x v="11"/>
    <n v="1"/>
    <n v="0"/>
    <n v="0"/>
    <m/>
    <m/>
    <x v="0"/>
    <x v="2"/>
    <x v="1"/>
    <n v="1"/>
    <x v="1"/>
  </r>
  <r>
    <s v="Oregon State"/>
    <x v="9"/>
    <x v="10"/>
    <n v="1"/>
    <n v="0"/>
    <n v="0"/>
    <m/>
    <m/>
    <x v="0"/>
    <x v="2"/>
    <x v="1"/>
    <n v="1"/>
    <x v="1"/>
  </r>
  <r>
    <s v="Oregon State"/>
    <x v="9"/>
    <x v="11"/>
    <n v="1"/>
    <n v="0"/>
    <n v="0"/>
    <m/>
    <m/>
    <x v="0"/>
    <x v="2"/>
    <x v="1"/>
    <n v="1"/>
    <x v="1"/>
  </r>
  <r>
    <s v="Penn State"/>
    <x v="8"/>
    <x v="6"/>
    <n v="1"/>
    <n v="0"/>
    <n v="0"/>
    <m/>
    <m/>
    <x v="0"/>
    <x v="2"/>
    <x v="1"/>
    <n v="1"/>
    <x v="1"/>
  </r>
  <r>
    <s v="Purdue"/>
    <x v="8"/>
    <x v="9"/>
    <n v="1"/>
    <n v="0"/>
    <n v="0"/>
    <m/>
    <m/>
    <x v="0"/>
    <x v="1"/>
    <x v="1"/>
    <n v="1"/>
    <x v="1"/>
  </r>
  <r>
    <s v="Rice"/>
    <x v="6"/>
    <x v="2"/>
    <n v="1"/>
    <n v="0"/>
    <n v="0"/>
    <m/>
    <m/>
    <x v="0"/>
    <x v="0"/>
    <x v="1"/>
    <n v="1"/>
    <x v="1"/>
  </r>
  <r>
    <s v="Rutgers"/>
    <x v="8"/>
    <x v="6"/>
    <n v="1"/>
    <n v="0"/>
    <n v="0"/>
    <m/>
    <m/>
    <x v="0"/>
    <x v="2"/>
    <x v="1"/>
    <n v="1"/>
    <x v="1"/>
  </r>
  <r>
    <s v="S Alabama"/>
    <x v="0"/>
    <x v="10"/>
    <n v="1"/>
    <n v="0"/>
    <n v="0"/>
    <m/>
    <m/>
    <x v="0"/>
    <x v="2"/>
    <x v="1"/>
    <n v="1"/>
    <x v="1"/>
  </r>
  <r>
    <s v="S Alabama"/>
    <x v="0"/>
    <x v="11"/>
    <n v="1"/>
    <n v="0"/>
    <n v="0"/>
    <m/>
    <m/>
    <x v="0"/>
    <x v="2"/>
    <x v="1"/>
    <n v="1"/>
    <x v="1"/>
  </r>
  <r>
    <s v="San Diego State"/>
    <x v="4"/>
    <x v="10"/>
    <n v="1"/>
    <n v="0"/>
    <n v="0"/>
    <m/>
    <m/>
    <x v="0"/>
    <x v="2"/>
    <x v="1"/>
    <n v="1"/>
    <x v="1"/>
  </r>
  <r>
    <s v="South Carolina"/>
    <x v="2"/>
    <x v="10"/>
    <n v="1"/>
    <n v="0"/>
    <n v="0"/>
    <m/>
    <m/>
    <x v="0"/>
    <x v="2"/>
    <x v="1"/>
    <n v="1"/>
    <x v="1"/>
  </r>
  <r>
    <s v="Southern Miss"/>
    <x v="0"/>
    <x v="8"/>
    <n v="1"/>
    <n v="0"/>
    <n v="0"/>
    <m/>
    <m/>
    <x v="0"/>
    <x v="2"/>
    <x v="1"/>
    <n v="1"/>
    <x v="1"/>
  </r>
  <r>
    <s v="Stanford"/>
    <x v="5"/>
    <x v="11"/>
    <n v="1"/>
    <n v="0"/>
    <n v="0"/>
    <m/>
    <m/>
    <x v="0"/>
    <x v="2"/>
    <x v="1"/>
    <n v="1"/>
    <x v="1"/>
  </r>
  <r>
    <s v="TCU"/>
    <x v="1"/>
    <x v="3"/>
    <n v="1"/>
    <n v="0"/>
    <n v="0"/>
    <m/>
    <m/>
    <x v="0"/>
    <x v="0"/>
    <x v="1"/>
    <n v="1"/>
    <x v="1"/>
  </r>
  <r>
    <s v="Tulane"/>
    <x v="6"/>
    <x v="2"/>
    <n v="1"/>
    <n v="0"/>
    <n v="0"/>
    <m/>
    <m/>
    <x v="0"/>
    <x v="0"/>
    <x v="1"/>
    <n v="1"/>
    <x v="1"/>
  </r>
  <r>
    <s v="Tulane"/>
    <x v="6"/>
    <x v="4"/>
    <n v="1"/>
    <n v="0"/>
    <n v="0"/>
    <m/>
    <m/>
    <x v="0"/>
    <x v="0"/>
    <x v="1"/>
    <n v="1"/>
    <x v="1"/>
  </r>
  <r>
    <s v="Tulane"/>
    <x v="6"/>
    <x v="3"/>
    <n v="1"/>
    <n v="0"/>
    <n v="0"/>
    <m/>
    <m/>
    <x v="0"/>
    <x v="0"/>
    <x v="1"/>
    <n v="1"/>
    <x v="1"/>
  </r>
  <r>
    <s v="Tulsa"/>
    <x v="6"/>
    <x v="2"/>
    <n v="1"/>
    <n v="0"/>
    <n v="0"/>
    <m/>
    <m/>
    <x v="0"/>
    <x v="0"/>
    <x v="1"/>
    <n v="1"/>
    <x v="1"/>
  </r>
  <r>
    <s v="UCLA"/>
    <x v="8"/>
    <x v="1"/>
    <n v="1"/>
    <n v="0"/>
    <n v="0"/>
    <m/>
    <m/>
    <x v="0"/>
    <x v="0"/>
    <x v="1"/>
    <n v="1"/>
    <x v="1"/>
  </r>
  <r>
    <s v="UCLA"/>
    <x v="8"/>
    <x v="12"/>
    <n v="1"/>
    <n v="0"/>
    <n v="0"/>
    <m/>
    <m/>
    <x v="0"/>
    <x v="2"/>
    <x v="1"/>
    <n v="1"/>
    <x v="1"/>
  </r>
  <r>
    <s v="UMass"/>
    <x v="3"/>
    <x v="4"/>
    <n v="1"/>
    <n v="0"/>
    <n v="0"/>
    <m/>
    <m/>
    <x v="0"/>
    <x v="0"/>
    <x v="1"/>
    <n v="1"/>
    <x v="1"/>
  </r>
  <r>
    <s v="UNLV"/>
    <x v="4"/>
    <x v="2"/>
    <n v="1"/>
    <n v="0"/>
    <n v="0"/>
    <m/>
    <m/>
    <x v="0"/>
    <x v="0"/>
    <x v="1"/>
    <n v="1"/>
    <x v="1"/>
  </r>
  <r>
    <s v="USF"/>
    <x v="6"/>
    <x v="12"/>
    <n v="1"/>
    <n v="0"/>
    <n v="0"/>
    <m/>
    <m/>
    <x v="0"/>
    <x v="2"/>
    <x v="1"/>
    <n v="1"/>
    <x v="1"/>
  </r>
  <r>
    <s v="UTEP"/>
    <x v="7"/>
    <x v="2"/>
    <n v="1"/>
    <n v="0"/>
    <n v="0"/>
    <m/>
    <m/>
    <x v="0"/>
    <x v="0"/>
    <x v="1"/>
    <n v="1"/>
    <x v="1"/>
  </r>
  <r>
    <s v="UTEP"/>
    <x v="7"/>
    <x v="11"/>
    <n v="1"/>
    <n v="0"/>
    <n v="0"/>
    <m/>
    <m/>
    <x v="0"/>
    <x v="2"/>
    <x v="1"/>
    <n v="1"/>
    <x v="1"/>
  </r>
  <r>
    <s v="Wake Forest"/>
    <x v="5"/>
    <x v="4"/>
    <n v="1"/>
    <n v="0"/>
    <n v="0"/>
    <m/>
    <m/>
    <x v="0"/>
    <x v="0"/>
    <x v="1"/>
    <n v="1"/>
    <x v="1"/>
  </r>
  <r>
    <s v="Washington"/>
    <x v="8"/>
    <x v="7"/>
    <n v="1"/>
    <n v="0"/>
    <n v="0"/>
    <m/>
    <m/>
    <x v="0"/>
    <x v="3"/>
    <x v="1"/>
    <n v="1"/>
    <x v="1"/>
  </r>
  <r>
    <s v="Washington"/>
    <x v="8"/>
    <x v="12"/>
    <n v="1"/>
    <n v="0"/>
    <n v="0"/>
    <m/>
    <m/>
    <x v="0"/>
    <x v="2"/>
    <x v="1"/>
    <n v="1"/>
    <x v="1"/>
  </r>
  <r>
    <s v="Washington State"/>
    <x v="9"/>
    <x v="6"/>
    <n v="1"/>
    <n v="0"/>
    <n v="0"/>
    <m/>
    <m/>
    <x v="0"/>
    <x v="2"/>
    <x v="1"/>
    <n v="1"/>
    <x v="1"/>
  </r>
  <r>
    <s v="Wyoming"/>
    <x v="4"/>
    <x v="11"/>
    <n v="1"/>
    <n v="0"/>
    <n v="0"/>
    <m/>
    <m/>
    <x v="0"/>
    <x v="2"/>
    <x v="1"/>
    <n v="1"/>
    <x v="1"/>
  </r>
  <r>
    <s v="Akron"/>
    <x v="3"/>
    <x v="12"/>
    <n v="1"/>
    <n v="15"/>
    <n v="15"/>
    <m/>
    <m/>
    <x v="0"/>
    <x v="2"/>
    <x v="0"/>
    <n v="0"/>
    <x v="0"/>
  </r>
  <r>
    <s v="Akron"/>
    <x v="3"/>
    <x v="8"/>
    <n v="1"/>
    <n v="15"/>
    <n v="15"/>
    <m/>
    <m/>
    <x v="0"/>
    <x v="2"/>
    <x v="0"/>
    <n v="0"/>
    <x v="0"/>
  </r>
  <r>
    <s v="Arizona"/>
    <x v="1"/>
    <x v="12"/>
    <n v="3"/>
    <n v="45"/>
    <n v="15"/>
    <m/>
    <m/>
    <x v="0"/>
    <x v="2"/>
    <x v="0"/>
    <n v="0"/>
    <x v="0"/>
  </r>
  <r>
    <s v="Arkansas"/>
    <x v="2"/>
    <x v="6"/>
    <n v="2"/>
    <n v="30"/>
    <n v="15"/>
    <m/>
    <m/>
    <x v="0"/>
    <x v="2"/>
    <x v="0"/>
    <n v="0"/>
    <x v="0"/>
  </r>
  <r>
    <s v="Army"/>
    <x v="6"/>
    <x v="9"/>
    <n v="2"/>
    <n v="30"/>
    <n v="15"/>
    <m/>
    <m/>
    <x v="0"/>
    <x v="1"/>
    <x v="0"/>
    <n v="0"/>
    <x v="0"/>
  </r>
  <r>
    <s v="Boise State"/>
    <x v="4"/>
    <x v="12"/>
    <n v="1"/>
    <n v="15"/>
    <n v="15"/>
    <m/>
    <m/>
    <x v="0"/>
    <x v="2"/>
    <x v="0"/>
    <n v="0"/>
    <x v="0"/>
  </r>
  <r>
    <s v="Boise State"/>
    <x v="4"/>
    <x v="6"/>
    <n v="1"/>
    <n v="15"/>
    <n v="15"/>
    <m/>
    <m/>
    <x v="0"/>
    <x v="2"/>
    <x v="0"/>
    <n v="0"/>
    <x v="0"/>
  </r>
  <r>
    <s v="Charlotte"/>
    <x v="6"/>
    <x v="9"/>
    <n v="1"/>
    <n v="15"/>
    <n v="15"/>
    <m/>
    <m/>
    <x v="0"/>
    <x v="1"/>
    <x v="0"/>
    <n v="0"/>
    <x v="0"/>
  </r>
  <r>
    <s v="Coastal Carolina"/>
    <x v="0"/>
    <x v="8"/>
    <n v="1"/>
    <n v="15"/>
    <n v="15"/>
    <m/>
    <m/>
    <x v="0"/>
    <x v="2"/>
    <x v="0"/>
    <n v="0"/>
    <x v="0"/>
  </r>
  <r>
    <s v="Colorado"/>
    <x v="1"/>
    <x v="12"/>
    <n v="1"/>
    <n v="15"/>
    <n v="15"/>
    <m/>
    <m/>
    <x v="0"/>
    <x v="2"/>
    <x v="0"/>
    <n v="0"/>
    <x v="0"/>
  </r>
  <r>
    <s v="Delaware"/>
    <x v="7"/>
    <x v="3"/>
    <n v="2"/>
    <n v="30"/>
    <n v="15"/>
    <m/>
    <m/>
    <x v="0"/>
    <x v="0"/>
    <x v="0"/>
    <n v="0"/>
    <x v="0"/>
  </r>
  <r>
    <s v="E Michigan"/>
    <x v="3"/>
    <x v="12"/>
    <n v="1"/>
    <n v="15"/>
    <n v="15"/>
    <m/>
    <m/>
    <x v="0"/>
    <x v="2"/>
    <x v="0"/>
    <n v="0"/>
    <x v="0"/>
  </r>
  <r>
    <s v="East Carolina"/>
    <x v="6"/>
    <x v="9"/>
    <n v="1"/>
    <n v="15"/>
    <n v="15"/>
    <m/>
    <m/>
    <x v="0"/>
    <x v="1"/>
    <x v="0"/>
    <n v="0"/>
    <x v="0"/>
  </r>
  <r>
    <s v="FAU"/>
    <x v="6"/>
    <x v="9"/>
    <n v="1"/>
    <n v="15"/>
    <n v="15"/>
    <m/>
    <m/>
    <x v="0"/>
    <x v="1"/>
    <x v="0"/>
    <n v="0"/>
    <x v="0"/>
  </r>
  <r>
    <s v="FAU"/>
    <x v="6"/>
    <x v="8"/>
    <n v="1"/>
    <n v="15"/>
    <n v="15"/>
    <m/>
    <m/>
    <x v="0"/>
    <x v="2"/>
    <x v="0"/>
    <n v="0"/>
    <x v="0"/>
  </r>
  <r>
    <s v="FAU"/>
    <x v="6"/>
    <x v="6"/>
    <n v="1"/>
    <n v="15"/>
    <n v="15"/>
    <m/>
    <m/>
    <x v="0"/>
    <x v="2"/>
    <x v="0"/>
    <n v="0"/>
    <x v="0"/>
  </r>
  <r>
    <s v="FIU"/>
    <x v="7"/>
    <x v="12"/>
    <n v="4"/>
    <n v="60"/>
    <n v="15"/>
    <m/>
    <m/>
    <x v="0"/>
    <x v="2"/>
    <x v="0"/>
    <n v="0"/>
    <x v="0"/>
  </r>
  <r>
    <s v="Florida"/>
    <x v="2"/>
    <x v="9"/>
    <n v="1"/>
    <n v="15"/>
    <n v="15"/>
    <m/>
    <m/>
    <x v="0"/>
    <x v="1"/>
    <x v="0"/>
    <n v="0"/>
    <x v="0"/>
  </r>
  <r>
    <s v="Florida"/>
    <x v="2"/>
    <x v="12"/>
    <n v="1"/>
    <n v="15"/>
    <n v="15"/>
    <m/>
    <m/>
    <x v="0"/>
    <x v="2"/>
    <x v="0"/>
    <n v="0"/>
    <x v="0"/>
  </r>
  <r>
    <s v="Georgia State"/>
    <x v="0"/>
    <x v="8"/>
    <n v="1"/>
    <n v="15"/>
    <n v="15"/>
    <m/>
    <m/>
    <x v="0"/>
    <x v="2"/>
    <x v="0"/>
    <n v="0"/>
    <x v="0"/>
  </r>
  <r>
    <s v="Illinois"/>
    <x v="8"/>
    <x v="9"/>
    <n v="1"/>
    <n v="15"/>
    <n v="15"/>
    <m/>
    <m/>
    <x v="0"/>
    <x v="1"/>
    <x v="0"/>
    <n v="0"/>
    <x v="0"/>
  </r>
  <r>
    <s v="Iowa State"/>
    <x v="1"/>
    <x v="6"/>
    <n v="2"/>
    <n v="30"/>
    <n v="15"/>
    <m/>
    <m/>
    <x v="0"/>
    <x v="2"/>
    <x v="0"/>
    <n v="0"/>
    <x v="0"/>
  </r>
  <r>
    <s v="J Madison"/>
    <x v="0"/>
    <x v="12"/>
    <n v="2"/>
    <n v="30"/>
    <n v="15"/>
    <m/>
    <m/>
    <x v="0"/>
    <x v="2"/>
    <x v="0"/>
    <n v="0"/>
    <x v="0"/>
  </r>
  <r>
    <s v="Kansas"/>
    <x v="1"/>
    <x v="6"/>
    <n v="3"/>
    <n v="45"/>
    <n v="15"/>
    <m/>
    <m/>
    <x v="0"/>
    <x v="2"/>
    <x v="0"/>
    <n v="0"/>
    <x v="0"/>
  </r>
  <r>
    <s v="Kennesaw State"/>
    <x v="7"/>
    <x v="7"/>
    <n v="4"/>
    <n v="60"/>
    <n v="15"/>
    <m/>
    <m/>
    <x v="0"/>
    <x v="3"/>
    <x v="0"/>
    <n v="0"/>
    <x v="0"/>
  </r>
  <r>
    <s v="Kennesaw State"/>
    <x v="7"/>
    <x v="11"/>
    <n v="1"/>
    <n v="15"/>
    <n v="15"/>
    <m/>
    <m/>
    <x v="0"/>
    <x v="2"/>
    <x v="0"/>
    <n v="0"/>
    <x v="0"/>
  </r>
  <r>
    <s v="Kentucky"/>
    <x v="2"/>
    <x v="9"/>
    <n v="1"/>
    <n v="15"/>
    <n v="15"/>
    <m/>
    <m/>
    <x v="0"/>
    <x v="1"/>
    <x v="0"/>
    <n v="0"/>
    <x v="0"/>
  </r>
  <r>
    <s v="La Tech"/>
    <x v="7"/>
    <x v="12"/>
    <n v="1"/>
    <n v="15"/>
    <n v="15"/>
    <m/>
    <m/>
    <x v="0"/>
    <x v="2"/>
    <x v="0"/>
    <n v="0"/>
    <x v="0"/>
  </r>
  <r>
    <s v="Liberty"/>
    <x v="7"/>
    <x v="7"/>
    <n v="1"/>
    <n v="15"/>
    <n v="15"/>
    <m/>
    <m/>
    <x v="0"/>
    <x v="3"/>
    <x v="0"/>
    <n v="0"/>
    <x v="0"/>
  </r>
  <r>
    <s v="Louisiana"/>
    <x v="0"/>
    <x v="12"/>
    <n v="5"/>
    <n v="75"/>
    <n v="15"/>
    <m/>
    <m/>
    <x v="0"/>
    <x v="2"/>
    <x v="0"/>
    <n v="0"/>
    <x v="0"/>
  </r>
  <r>
    <s v="Maryland"/>
    <x v="8"/>
    <x v="6"/>
    <n v="1"/>
    <n v="15"/>
    <n v="15"/>
    <m/>
    <m/>
    <x v="0"/>
    <x v="2"/>
    <x v="0"/>
    <n v="0"/>
    <x v="0"/>
  </r>
  <r>
    <s v="Miami (OH)"/>
    <x v="3"/>
    <x v="9"/>
    <n v="1"/>
    <n v="15"/>
    <n v="15"/>
    <m/>
    <m/>
    <x v="0"/>
    <x v="1"/>
    <x v="0"/>
    <n v="0"/>
    <x v="0"/>
  </r>
  <r>
    <s v="Mississippi State"/>
    <x v="2"/>
    <x v="6"/>
    <n v="1"/>
    <n v="15"/>
    <n v="15"/>
    <m/>
    <m/>
    <x v="0"/>
    <x v="2"/>
    <x v="0"/>
    <n v="0"/>
    <x v="0"/>
  </r>
  <r>
    <s v="Missouri State"/>
    <x v="7"/>
    <x v="9"/>
    <n v="2"/>
    <n v="30"/>
    <n v="15"/>
    <m/>
    <m/>
    <x v="0"/>
    <x v="1"/>
    <x v="0"/>
    <n v="0"/>
    <x v="0"/>
  </r>
  <r>
    <s v="Missouri State"/>
    <x v="7"/>
    <x v="12"/>
    <n v="2"/>
    <n v="30"/>
    <n v="15"/>
    <m/>
    <m/>
    <x v="0"/>
    <x v="2"/>
    <x v="0"/>
    <n v="0"/>
    <x v="0"/>
  </r>
  <r>
    <s v="N Illinois"/>
    <x v="3"/>
    <x v="12"/>
    <n v="1"/>
    <n v="15"/>
    <n v="15"/>
    <m/>
    <m/>
    <x v="0"/>
    <x v="2"/>
    <x v="0"/>
    <n v="0"/>
    <x v="0"/>
  </r>
  <r>
    <s v="N Texas"/>
    <x v="6"/>
    <x v="9"/>
    <n v="1"/>
    <n v="15"/>
    <n v="15"/>
    <m/>
    <m/>
    <x v="0"/>
    <x v="1"/>
    <x v="0"/>
    <n v="0"/>
    <x v="0"/>
  </r>
  <r>
    <s v="NC State"/>
    <x v="5"/>
    <x v="10"/>
    <n v="1"/>
    <n v="15"/>
    <n v="15"/>
    <m/>
    <m/>
    <x v="0"/>
    <x v="2"/>
    <x v="0"/>
    <n v="0"/>
    <x v="0"/>
  </r>
  <r>
    <s v="NC State"/>
    <x v="5"/>
    <x v="11"/>
    <n v="1"/>
    <n v="15"/>
    <n v="15"/>
    <m/>
    <m/>
    <x v="0"/>
    <x v="2"/>
    <x v="0"/>
    <n v="0"/>
    <x v="0"/>
  </r>
  <r>
    <s v="NC State"/>
    <x v="5"/>
    <x v="8"/>
    <n v="1"/>
    <n v="15"/>
    <n v="15"/>
    <m/>
    <m/>
    <x v="0"/>
    <x v="2"/>
    <x v="0"/>
    <n v="0"/>
    <x v="0"/>
  </r>
  <r>
    <s v="Navy"/>
    <x v="6"/>
    <x v="10"/>
    <n v="1"/>
    <n v="15"/>
    <n v="15"/>
    <m/>
    <m/>
    <x v="0"/>
    <x v="2"/>
    <x v="0"/>
    <n v="0"/>
    <x v="0"/>
  </r>
  <r>
    <s v="Nebraska"/>
    <x v="8"/>
    <x v="9"/>
    <n v="1"/>
    <n v="15"/>
    <n v="15"/>
    <m/>
    <m/>
    <x v="0"/>
    <x v="1"/>
    <x v="0"/>
    <n v="0"/>
    <x v="0"/>
  </r>
  <r>
    <s v="Nevada"/>
    <x v="4"/>
    <x v="9"/>
    <n v="1"/>
    <n v="15"/>
    <n v="15"/>
    <m/>
    <m/>
    <x v="0"/>
    <x v="1"/>
    <x v="0"/>
    <n v="0"/>
    <x v="0"/>
  </r>
  <r>
    <s v="New Mexico State"/>
    <x v="7"/>
    <x v="7"/>
    <n v="7"/>
    <n v="105"/>
    <n v="15"/>
    <m/>
    <m/>
    <x v="0"/>
    <x v="3"/>
    <x v="0"/>
    <n v="0"/>
    <x v="0"/>
  </r>
  <r>
    <s v="New Mexico State"/>
    <x v="7"/>
    <x v="6"/>
    <n v="1"/>
    <n v="15"/>
    <n v="15"/>
    <m/>
    <m/>
    <x v="0"/>
    <x v="2"/>
    <x v="0"/>
    <n v="0"/>
    <x v="0"/>
  </r>
  <r>
    <s v="ODU"/>
    <x v="0"/>
    <x v="8"/>
    <n v="2"/>
    <n v="30"/>
    <n v="15"/>
    <m/>
    <m/>
    <x v="0"/>
    <x v="2"/>
    <x v="0"/>
    <n v="0"/>
    <x v="0"/>
  </r>
  <r>
    <s v="Ohio"/>
    <x v="3"/>
    <x v="12"/>
    <n v="1"/>
    <n v="15"/>
    <n v="15"/>
    <m/>
    <m/>
    <x v="0"/>
    <x v="2"/>
    <x v="0"/>
    <n v="0"/>
    <x v="0"/>
  </r>
  <r>
    <s v="Oregon State"/>
    <x v="9"/>
    <x v="12"/>
    <n v="2"/>
    <n v="30"/>
    <n v="15"/>
    <m/>
    <m/>
    <x v="0"/>
    <x v="2"/>
    <x v="0"/>
    <n v="0"/>
    <x v="0"/>
  </r>
  <r>
    <s v="Oregon State"/>
    <x v="9"/>
    <x v="8"/>
    <n v="1"/>
    <n v="15"/>
    <n v="15"/>
    <m/>
    <m/>
    <x v="0"/>
    <x v="2"/>
    <x v="0"/>
    <n v="0"/>
    <x v="0"/>
  </r>
  <r>
    <s v="Penn State"/>
    <x v="8"/>
    <x v="8"/>
    <n v="1"/>
    <n v="15"/>
    <n v="15"/>
    <m/>
    <m/>
    <x v="0"/>
    <x v="2"/>
    <x v="0"/>
    <n v="0"/>
    <x v="0"/>
  </r>
  <r>
    <s v="Purdue"/>
    <x v="8"/>
    <x v="6"/>
    <n v="1"/>
    <n v="15"/>
    <n v="15"/>
    <m/>
    <m/>
    <x v="0"/>
    <x v="2"/>
    <x v="0"/>
    <n v="0"/>
    <x v="0"/>
  </r>
  <r>
    <s v="Rice"/>
    <x v="6"/>
    <x v="6"/>
    <n v="2"/>
    <n v="30"/>
    <n v="15"/>
    <m/>
    <m/>
    <x v="0"/>
    <x v="2"/>
    <x v="0"/>
    <n v="0"/>
    <x v="0"/>
  </r>
  <r>
    <s v="S Alabama"/>
    <x v="0"/>
    <x v="9"/>
    <n v="2"/>
    <n v="30"/>
    <n v="15"/>
    <m/>
    <m/>
    <x v="0"/>
    <x v="1"/>
    <x v="0"/>
    <n v="0"/>
    <x v="0"/>
  </r>
  <r>
    <s v="S Alabama"/>
    <x v="0"/>
    <x v="12"/>
    <n v="2"/>
    <n v="30"/>
    <n v="15"/>
    <m/>
    <m/>
    <x v="0"/>
    <x v="2"/>
    <x v="0"/>
    <n v="0"/>
    <x v="0"/>
  </r>
  <r>
    <s v="S Alabama"/>
    <x v="0"/>
    <x v="6"/>
    <n v="1"/>
    <n v="15"/>
    <n v="15"/>
    <m/>
    <m/>
    <x v="0"/>
    <x v="2"/>
    <x v="0"/>
    <n v="0"/>
    <x v="0"/>
  </r>
  <r>
    <s v="Sam Houston"/>
    <x v="7"/>
    <x v="6"/>
    <n v="2"/>
    <n v="30"/>
    <n v="15"/>
    <m/>
    <m/>
    <x v="0"/>
    <x v="2"/>
    <x v="0"/>
    <n v="0"/>
    <x v="0"/>
  </r>
  <r>
    <s v="Sam Houston"/>
    <x v="7"/>
    <x v="8"/>
    <n v="1"/>
    <n v="15"/>
    <n v="15"/>
    <m/>
    <m/>
    <x v="0"/>
    <x v="2"/>
    <x v="0"/>
    <n v="0"/>
    <x v="0"/>
  </r>
  <r>
    <s v="San Diego State"/>
    <x v="4"/>
    <x v="8"/>
    <n v="1"/>
    <n v="15"/>
    <n v="15"/>
    <m/>
    <m/>
    <x v="0"/>
    <x v="2"/>
    <x v="0"/>
    <n v="0"/>
    <x v="0"/>
  </r>
  <r>
    <s v="San Diego State"/>
    <x v="4"/>
    <x v="6"/>
    <n v="1"/>
    <n v="15"/>
    <n v="15"/>
    <m/>
    <m/>
    <x v="0"/>
    <x v="2"/>
    <x v="0"/>
    <n v="0"/>
    <x v="0"/>
  </r>
  <r>
    <s v="San Jose St"/>
    <x v="4"/>
    <x v="11"/>
    <n v="1"/>
    <n v="15"/>
    <n v="15"/>
    <m/>
    <m/>
    <x v="0"/>
    <x v="2"/>
    <x v="0"/>
    <n v="0"/>
    <x v="0"/>
  </r>
  <r>
    <s v="Stanford"/>
    <x v="5"/>
    <x v="9"/>
    <n v="1"/>
    <n v="15"/>
    <n v="15"/>
    <m/>
    <m/>
    <x v="0"/>
    <x v="1"/>
    <x v="0"/>
    <n v="0"/>
    <x v="0"/>
  </r>
  <r>
    <s v="Stanford"/>
    <x v="5"/>
    <x v="12"/>
    <n v="1"/>
    <n v="15"/>
    <n v="15"/>
    <m/>
    <m/>
    <x v="0"/>
    <x v="2"/>
    <x v="0"/>
    <n v="0"/>
    <x v="0"/>
  </r>
  <r>
    <s v="Toledo"/>
    <x v="3"/>
    <x v="12"/>
    <n v="1"/>
    <n v="15"/>
    <n v="15"/>
    <m/>
    <m/>
    <x v="0"/>
    <x v="2"/>
    <x v="0"/>
    <n v="0"/>
    <x v="0"/>
  </r>
  <r>
    <s v="Tulane"/>
    <x v="6"/>
    <x v="11"/>
    <n v="1"/>
    <n v="15"/>
    <n v="15"/>
    <m/>
    <m/>
    <x v="0"/>
    <x v="2"/>
    <x v="0"/>
    <n v="0"/>
    <x v="0"/>
  </r>
  <r>
    <s v="UCF"/>
    <x v="1"/>
    <x v="7"/>
    <n v="3"/>
    <n v="45"/>
    <n v="15"/>
    <m/>
    <m/>
    <x v="0"/>
    <x v="3"/>
    <x v="0"/>
    <n v="0"/>
    <x v="0"/>
  </r>
  <r>
    <s v="UCF"/>
    <x v="1"/>
    <x v="12"/>
    <n v="1"/>
    <n v="15"/>
    <n v="15"/>
    <m/>
    <m/>
    <x v="0"/>
    <x v="2"/>
    <x v="0"/>
    <n v="0"/>
    <x v="0"/>
  </r>
  <r>
    <s v="USF"/>
    <x v="6"/>
    <x v="9"/>
    <n v="1"/>
    <n v="15"/>
    <n v="15"/>
    <m/>
    <m/>
    <x v="0"/>
    <x v="1"/>
    <x v="0"/>
    <n v="0"/>
    <x v="0"/>
  </r>
  <r>
    <s v="UTSA"/>
    <x v="6"/>
    <x v="8"/>
    <n v="1"/>
    <n v="15"/>
    <n v="15"/>
    <m/>
    <m/>
    <x v="0"/>
    <x v="2"/>
    <x v="0"/>
    <n v="0"/>
    <x v="0"/>
  </r>
  <r>
    <s v="Virginia Tech"/>
    <x v="5"/>
    <x v="12"/>
    <n v="1"/>
    <n v="15"/>
    <n v="15"/>
    <m/>
    <m/>
    <x v="0"/>
    <x v="2"/>
    <x v="0"/>
    <n v="0"/>
    <x v="0"/>
  </r>
  <r>
    <s v="W Michigan"/>
    <x v="3"/>
    <x v="9"/>
    <n v="1"/>
    <n v="15"/>
    <n v="15"/>
    <m/>
    <m/>
    <x v="0"/>
    <x v="1"/>
    <x v="0"/>
    <n v="0"/>
    <x v="0"/>
  </r>
  <r>
    <s v="WKU"/>
    <x v="7"/>
    <x v="9"/>
    <n v="2"/>
    <n v="30"/>
    <n v="15"/>
    <m/>
    <m/>
    <x v="0"/>
    <x v="1"/>
    <x v="0"/>
    <n v="0"/>
    <x v="0"/>
  </r>
  <r>
    <s v="Wake Forest"/>
    <x v="5"/>
    <x v="7"/>
    <n v="6"/>
    <n v="90"/>
    <n v="15"/>
    <m/>
    <m/>
    <x v="0"/>
    <x v="3"/>
    <x v="0"/>
    <n v="0"/>
    <x v="0"/>
  </r>
  <r>
    <s v="Wake Forest"/>
    <x v="5"/>
    <x v="12"/>
    <n v="2"/>
    <n v="30"/>
    <n v="15"/>
    <m/>
    <m/>
    <x v="0"/>
    <x v="2"/>
    <x v="0"/>
    <n v="0"/>
    <x v="0"/>
  </r>
  <r>
    <s v="Washington State"/>
    <x v="9"/>
    <x v="10"/>
    <n v="1"/>
    <n v="15"/>
    <n v="15"/>
    <m/>
    <m/>
    <x v="0"/>
    <x v="2"/>
    <x v="0"/>
    <n v="0"/>
    <x v="0"/>
  </r>
  <r>
    <s v="Washington State"/>
    <x v="9"/>
    <x v="12"/>
    <n v="1"/>
    <n v="15"/>
    <n v="15"/>
    <m/>
    <m/>
    <x v="0"/>
    <x v="2"/>
    <x v="0"/>
    <n v="0"/>
    <x v="0"/>
  </r>
  <r>
    <s v="Wisconsin"/>
    <x v="8"/>
    <x v="12"/>
    <n v="1"/>
    <n v="15"/>
    <n v="15"/>
    <m/>
    <m/>
    <x v="0"/>
    <x v="2"/>
    <x v="0"/>
    <n v="0"/>
    <x v="0"/>
  </r>
  <r>
    <s v="Wisconsin"/>
    <x v="8"/>
    <x v="6"/>
    <n v="1"/>
    <n v="15"/>
    <n v="15"/>
    <m/>
    <m/>
    <x v="0"/>
    <x v="2"/>
    <x v="0"/>
    <n v="0"/>
    <x v="0"/>
  </r>
  <r>
    <s v="Air Force"/>
    <x v="4"/>
    <x v="7"/>
    <n v="2"/>
    <n v="25"/>
    <n v="12.5"/>
    <m/>
    <m/>
    <x v="0"/>
    <x v="3"/>
    <x v="0"/>
    <n v="0"/>
    <x v="0"/>
  </r>
  <r>
    <s v="Akron"/>
    <x v="3"/>
    <x v="7"/>
    <n v="8"/>
    <n v="126"/>
    <n v="15.75"/>
    <m/>
    <m/>
    <x v="0"/>
    <x v="3"/>
    <x v="0"/>
    <n v="0"/>
    <x v="0"/>
  </r>
  <r>
    <s v="App State"/>
    <x v="0"/>
    <x v="7"/>
    <n v="11"/>
    <n v="76"/>
    <n v="6.91"/>
    <m/>
    <m/>
    <x v="0"/>
    <x v="3"/>
    <x v="0"/>
    <n v="0"/>
    <x v="0"/>
  </r>
  <r>
    <s v="Arizona"/>
    <x v="1"/>
    <x v="7"/>
    <n v="5"/>
    <n v="20"/>
    <n v="4"/>
    <m/>
    <m/>
    <x v="0"/>
    <x v="3"/>
    <x v="0"/>
    <n v="0"/>
    <x v="0"/>
  </r>
  <r>
    <s v="Arizona State"/>
    <x v="1"/>
    <x v="7"/>
    <n v="12"/>
    <n v="110"/>
    <n v="9.17"/>
    <m/>
    <m/>
    <x v="0"/>
    <x v="3"/>
    <x v="0"/>
    <n v="0"/>
    <x v="0"/>
  </r>
  <r>
    <s v="Arkansas"/>
    <x v="2"/>
    <x v="7"/>
    <n v="4"/>
    <n v="48"/>
    <n v="12"/>
    <m/>
    <m/>
    <x v="0"/>
    <x v="3"/>
    <x v="0"/>
    <n v="0"/>
    <x v="0"/>
  </r>
  <r>
    <s v="Arkansas State"/>
    <x v="0"/>
    <x v="7"/>
    <n v="23"/>
    <n v="117"/>
    <n v="5.09"/>
    <m/>
    <m/>
    <x v="0"/>
    <x v="3"/>
    <x v="0"/>
    <n v="0"/>
    <x v="0"/>
  </r>
  <r>
    <s v="Army"/>
    <x v="6"/>
    <x v="7"/>
    <n v="5"/>
    <n v="68"/>
    <n v="13.6"/>
    <m/>
    <m/>
    <x v="0"/>
    <x v="3"/>
    <x v="0"/>
    <n v="0"/>
    <x v="0"/>
  </r>
  <r>
    <s v="Auburn"/>
    <x v="2"/>
    <x v="7"/>
    <n v="8"/>
    <n v="46"/>
    <n v="5.75"/>
    <m/>
    <m/>
    <x v="0"/>
    <x v="3"/>
    <x v="0"/>
    <n v="0"/>
    <x v="0"/>
  </r>
  <r>
    <s v="Ball State"/>
    <x v="3"/>
    <x v="7"/>
    <n v="6"/>
    <n v="80"/>
    <n v="13.33"/>
    <m/>
    <m/>
    <x v="0"/>
    <x v="3"/>
    <x v="0"/>
    <n v="0"/>
    <x v="0"/>
  </r>
  <r>
    <s v="Baylor"/>
    <x v="1"/>
    <x v="7"/>
    <n v="19"/>
    <n v="166"/>
    <n v="8.74"/>
    <m/>
    <m/>
    <x v="0"/>
    <x v="3"/>
    <x v="0"/>
    <n v="0"/>
    <x v="0"/>
  </r>
  <r>
    <s v="Boise State"/>
    <x v="4"/>
    <x v="7"/>
    <n v="7"/>
    <n v="73"/>
    <n v="10.43"/>
    <m/>
    <m/>
    <x v="0"/>
    <x v="3"/>
    <x v="0"/>
    <n v="0"/>
    <x v="0"/>
  </r>
  <r>
    <s v="Bowling Green"/>
    <x v="3"/>
    <x v="7"/>
    <n v="8"/>
    <n v="111"/>
    <n v="13.88"/>
    <m/>
    <m/>
    <x v="0"/>
    <x v="3"/>
    <x v="0"/>
    <n v="0"/>
    <x v="0"/>
  </r>
  <r>
    <s v="Buffalo"/>
    <x v="3"/>
    <x v="7"/>
    <n v="10"/>
    <n v="103"/>
    <n v="10.3"/>
    <m/>
    <m/>
    <x v="0"/>
    <x v="3"/>
    <x v="0"/>
    <n v="0"/>
    <x v="0"/>
  </r>
  <r>
    <s v="C Michigan"/>
    <x v="3"/>
    <x v="7"/>
    <n v="1"/>
    <n v="8"/>
    <n v="8"/>
    <m/>
    <m/>
    <x v="0"/>
    <x v="3"/>
    <x v="0"/>
    <n v="0"/>
    <x v="0"/>
  </r>
  <r>
    <s v="California"/>
    <x v="5"/>
    <x v="7"/>
    <n v="10"/>
    <n v="90"/>
    <n v="9"/>
    <m/>
    <m/>
    <x v="0"/>
    <x v="3"/>
    <x v="0"/>
    <n v="0"/>
    <x v="0"/>
  </r>
  <r>
    <s v="Charlotte"/>
    <x v="6"/>
    <x v="7"/>
    <n v="6"/>
    <n v="70"/>
    <n v="11.67"/>
    <m/>
    <m/>
    <x v="0"/>
    <x v="3"/>
    <x v="0"/>
    <n v="0"/>
    <x v="0"/>
  </r>
  <r>
    <s v="Clemson"/>
    <x v="5"/>
    <x v="7"/>
    <n v="9"/>
    <n v="74"/>
    <n v="8.2200000000000006"/>
    <m/>
    <m/>
    <x v="0"/>
    <x v="3"/>
    <x v="0"/>
    <n v="0"/>
    <x v="0"/>
  </r>
  <r>
    <s v="Coastal Carolina"/>
    <x v="0"/>
    <x v="7"/>
    <n v="5"/>
    <n v="66"/>
    <n v="13.2"/>
    <m/>
    <m/>
    <x v="0"/>
    <x v="3"/>
    <x v="0"/>
    <n v="0"/>
    <x v="0"/>
  </r>
  <r>
    <s v="Colorado"/>
    <x v="1"/>
    <x v="7"/>
    <n v="7"/>
    <n v="90"/>
    <n v="12.86"/>
    <m/>
    <m/>
    <x v="0"/>
    <x v="3"/>
    <x v="0"/>
    <n v="0"/>
    <x v="0"/>
  </r>
  <r>
    <s v="Colorado State"/>
    <x v="4"/>
    <x v="7"/>
    <n v="9"/>
    <n v="104"/>
    <n v="11.56"/>
    <m/>
    <m/>
    <x v="0"/>
    <x v="3"/>
    <x v="0"/>
    <n v="0"/>
    <x v="0"/>
  </r>
  <r>
    <s v="Delaware"/>
    <x v="7"/>
    <x v="7"/>
    <n v="11"/>
    <n v="114"/>
    <n v="10.36"/>
    <m/>
    <m/>
    <x v="0"/>
    <x v="3"/>
    <x v="0"/>
    <n v="0"/>
    <x v="0"/>
  </r>
  <r>
    <s v="Duke"/>
    <x v="5"/>
    <x v="7"/>
    <n v="14"/>
    <n v="145"/>
    <n v="10.36"/>
    <m/>
    <m/>
    <x v="0"/>
    <x v="3"/>
    <x v="0"/>
    <n v="0"/>
    <x v="0"/>
  </r>
  <r>
    <s v="E Michigan"/>
    <x v="3"/>
    <x v="7"/>
    <n v="12"/>
    <n v="203"/>
    <n v="16.920000000000002"/>
    <m/>
    <m/>
    <x v="0"/>
    <x v="3"/>
    <x v="0"/>
    <n v="0"/>
    <x v="0"/>
  </r>
  <r>
    <s v="East Carolina"/>
    <x v="6"/>
    <x v="7"/>
    <n v="6"/>
    <n v="67"/>
    <n v="11.17"/>
    <m/>
    <m/>
    <x v="0"/>
    <x v="3"/>
    <x v="0"/>
    <n v="0"/>
    <x v="0"/>
  </r>
  <r>
    <s v="FAU"/>
    <x v="6"/>
    <x v="7"/>
    <n v="8"/>
    <n v="89"/>
    <n v="11.12"/>
    <m/>
    <m/>
    <x v="0"/>
    <x v="3"/>
    <x v="0"/>
    <n v="0"/>
    <x v="0"/>
  </r>
  <r>
    <s v="FIU"/>
    <x v="7"/>
    <x v="7"/>
    <n v="2"/>
    <n v="18"/>
    <n v="9"/>
    <m/>
    <m/>
    <x v="0"/>
    <x v="3"/>
    <x v="0"/>
    <n v="0"/>
    <x v="0"/>
  </r>
  <r>
    <s v="Florida"/>
    <x v="2"/>
    <x v="7"/>
    <n v="6"/>
    <n v="71"/>
    <n v="11.83"/>
    <m/>
    <m/>
    <x v="0"/>
    <x v="3"/>
    <x v="0"/>
    <n v="0"/>
    <x v="0"/>
  </r>
  <r>
    <s v="Florida State"/>
    <x v="5"/>
    <x v="7"/>
    <n v="8"/>
    <n v="99"/>
    <n v="12.38"/>
    <m/>
    <m/>
    <x v="0"/>
    <x v="3"/>
    <x v="0"/>
    <n v="0"/>
    <x v="0"/>
  </r>
  <r>
    <s v="Fresno State"/>
    <x v="4"/>
    <x v="7"/>
    <n v="4"/>
    <n v="56"/>
    <n v="14"/>
    <m/>
    <m/>
    <x v="0"/>
    <x v="3"/>
    <x v="0"/>
    <n v="0"/>
    <x v="0"/>
  </r>
  <r>
    <s v="Georgia Southern"/>
    <x v="0"/>
    <x v="7"/>
    <n v="6"/>
    <n v="71"/>
    <n v="11.83"/>
    <m/>
    <m/>
    <x v="0"/>
    <x v="3"/>
    <x v="0"/>
    <n v="0"/>
    <x v="0"/>
  </r>
  <r>
    <s v="Georgia State"/>
    <x v="0"/>
    <x v="7"/>
    <n v="5"/>
    <n v="82"/>
    <n v="16.399999999999999"/>
    <m/>
    <m/>
    <x v="0"/>
    <x v="3"/>
    <x v="0"/>
    <n v="0"/>
    <x v="0"/>
  </r>
  <r>
    <s v="Hawai'i"/>
    <x v="4"/>
    <x v="7"/>
    <n v="9"/>
    <n v="103"/>
    <n v="11.44"/>
    <m/>
    <m/>
    <x v="0"/>
    <x v="3"/>
    <x v="0"/>
    <n v="0"/>
    <x v="0"/>
  </r>
  <r>
    <s v="Houston"/>
    <x v="1"/>
    <x v="7"/>
    <n v="15"/>
    <n v="68"/>
    <n v="4.53"/>
    <m/>
    <m/>
    <x v="0"/>
    <x v="3"/>
    <x v="0"/>
    <n v="0"/>
    <x v="0"/>
  </r>
  <r>
    <s v="Illinois"/>
    <x v="8"/>
    <x v="7"/>
    <n v="13"/>
    <n v="172"/>
    <n v="13.23"/>
    <m/>
    <m/>
    <x v="0"/>
    <x v="3"/>
    <x v="0"/>
    <n v="0"/>
    <x v="0"/>
  </r>
  <r>
    <s v="Iowa State"/>
    <x v="1"/>
    <x v="7"/>
    <n v="12"/>
    <n v="157"/>
    <n v="13.08"/>
    <m/>
    <m/>
    <x v="0"/>
    <x v="3"/>
    <x v="0"/>
    <n v="0"/>
    <x v="0"/>
  </r>
  <r>
    <s v="J Madison"/>
    <x v="0"/>
    <x v="7"/>
    <n v="6"/>
    <n v="57"/>
    <n v="9.5"/>
    <m/>
    <m/>
    <x v="0"/>
    <x v="3"/>
    <x v="0"/>
    <n v="0"/>
    <x v="0"/>
  </r>
  <r>
    <s v="Jacksonville State"/>
    <x v="7"/>
    <x v="7"/>
    <n v="5"/>
    <n v="43"/>
    <n v="8.6"/>
    <m/>
    <m/>
    <x v="0"/>
    <x v="3"/>
    <x v="0"/>
    <n v="0"/>
    <x v="0"/>
  </r>
  <r>
    <s v="Kansas"/>
    <x v="1"/>
    <x v="7"/>
    <n v="4"/>
    <n v="21"/>
    <n v="5.25"/>
    <m/>
    <m/>
    <x v="0"/>
    <x v="3"/>
    <x v="0"/>
    <n v="0"/>
    <x v="0"/>
  </r>
  <r>
    <s v="Kansas State"/>
    <x v="1"/>
    <x v="7"/>
    <n v="3"/>
    <n v="39"/>
    <n v="13"/>
    <m/>
    <m/>
    <x v="0"/>
    <x v="3"/>
    <x v="0"/>
    <n v="0"/>
    <x v="0"/>
  </r>
  <r>
    <s v="Kentucky"/>
    <x v="2"/>
    <x v="7"/>
    <n v="10"/>
    <n v="127"/>
    <n v="12.7"/>
    <m/>
    <m/>
    <x v="0"/>
    <x v="3"/>
    <x v="0"/>
    <n v="0"/>
    <x v="0"/>
  </r>
  <r>
    <s v="LSU"/>
    <x v="2"/>
    <x v="7"/>
    <n v="13"/>
    <n v="162"/>
    <n v="12.46"/>
    <m/>
    <m/>
    <x v="0"/>
    <x v="3"/>
    <x v="0"/>
    <n v="0"/>
    <x v="0"/>
  </r>
  <r>
    <s v="La Tech"/>
    <x v="7"/>
    <x v="7"/>
    <n v="7"/>
    <n v="97"/>
    <n v="13.86"/>
    <m/>
    <m/>
    <x v="0"/>
    <x v="3"/>
    <x v="0"/>
    <n v="0"/>
    <x v="0"/>
  </r>
  <r>
    <s v="Louisiana"/>
    <x v="0"/>
    <x v="7"/>
    <n v="12"/>
    <n v="164"/>
    <n v="13.67"/>
    <m/>
    <m/>
    <x v="0"/>
    <x v="3"/>
    <x v="0"/>
    <n v="0"/>
    <x v="0"/>
  </r>
  <r>
    <s v="MTSU"/>
    <x v="7"/>
    <x v="7"/>
    <n v="5"/>
    <n v="72"/>
    <n v="14.4"/>
    <m/>
    <m/>
    <x v="0"/>
    <x v="3"/>
    <x v="0"/>
    <n v="0"/>
    <x v="0"/>
  </r>
  <r>
    <s v="Marshall"/>
    <x v="0"/>
    <x v="7"/>
    <n v="3"/>
    <n v="27"/>
    <n v="9"/>
    <m/>
    <m/>
    <x v="0"/>
    <x v="3"/>
    <x v="0"/>
    <n v="0"/>
    <x v="0"/>
  </r>
  <r>
    <s v="Maryland"/>
    <x v="8"/>
    <x v="7"/>
    <n v="7"/>
    <n v="43"/>
    <n v="6.14"/>
    <m/>
    <m/>
    <x v="0"/>
    <x v="3"/>
    <x v="0"/>
    <n v="0"/>
    <x v="0"/>
  </r>
  <r>
    <s v="Memphis"/>
    <x v="6"/>
    <x v="7"/>
    <n v="4"/>
    <n v="45"/>
    <n v="11.25"/>
    <m/>
    <m/>
    <x v="0"/>
    <x v="3"/>
    <x v="0"/>
    <n v="0"/>
    <x v="0"/>
  </r>
  <r>
    <s v="Miami (OH)"/>
    <x v="3"/>
    <x v="7"/>
    <n v="7"/>
    <n v="100"/>
    <n v="14.29"/>
    <m/>
    <m/>
    <x v="0"/>
    <x v="3"/>
    <x v="0"/>
    <n v="0"/>
    <x v="0"/>
  </r>
  <r>
    <s v="Michigan State"/>
    <x v="8"/>
    <x v="7"/>
    <n v="7"/>
    <n v="57"/>
    <n v="8.14"/>
    <m/>
    <m/>
    <x v="0"/>
    <x v="3"/>
    <x v="0"/>
    <n v="0"/>
    <x v="0"/>
  </r>
  <r>
    <s v="Minnesota"/>
    <x v="8"/>
    <x v="7"/>
    <n v="8"/>
    <n v="66"/>
    <n v="8.25"/>
    <m/>
    <m/>
    <x v="0"/>
    <x v="3"/>
    <x v="0"/>
    <n v="0"/>
    <x v="0"/>
  </r>
  <r>
    <s v="Mississippi State"/>
    <x v="2"/>
    <x v="7"/>
    <n v="9"/>
    <n v="93"/>
    <n v="10.33"/>
    <m/>
    <m/>
    <x v="0"/>
    <x v="3"/>
    <x v="0"/>
    <n v="0"/>
    <x v="0"/>
  </r>
  <r>
    <s v="Missouri State"/>
    <x v="7"/>
    <x v="7"/>
    <n v="6"/>
    <n v="101"/>
    <n v="16.829999999999998"/>
    <m/>
    <m/>
    <x v="0"/>
    <x v="3"/>
    <x v="0"/>
    <n v="0"/>
    <x v="0"/>
  </r>
  <r>
    <s v="N Illinois"/>
    <x v="3"/>
    <x v="7"/>
    <n v="2"/>
    <n v="14"/>
    <n v="7"/>
    <m/>
    <m/>
    <x v="0"/>
    <x v="3"/>
    <x v="0"/>
    <n v="0"/>
    <x v="0"/>
  </r>
  <r>
    <s v="N Texas"/>
    <x v="6"/>
    <x v="7"/>
    <n v="8"/>
    <n v="81"/>
    <n v="10.119999999999999"/>
    <m/>
    <m/>
    <x v="0"/>
    <x v="3"/>
    <x v="0"/>
    <n v="0"/>
    <x v="0"/>
  </r>
  <r>
    <s v="NC State"/>
    <x v="5"/>
    <x v="7"/>
    <n v="8"/>
    <n v="86"/>
    <n v="10.75"/>
    <m/>
    <m/>
    <x v="0"/>
    <x v="3"/>
    <x v="0"/>
    <n v="0"/>
    <x v="0"/>
  </r>
  <r>
    <s v="Navy"/>
    <x v="6"/>
    <x v="7"/>
    <n v="2"/>
    <n v="28"/>
    <n v="14"/>
    <m/>
    <m/>
    <x v="0"/>
    <x v="3"/>
    <x v="0"/>
    <n v="0"/>
    <x v="0"/>
  </r>
  <r>
    <s v="Nebraska"/>
    <x v="8"/>
    <x v="7"/>
    <n v="8"/>
    <n v="104"/>
    <n v="13"/>
    <m/>
    <m/>
    <x v="0"/>
    <x v="3"/>
    <x v="0"/>
    <n v="0"/>
    <x v="0"/>
  </r>
  <r>
    <s v="Nevada"/>
    <x v="4"/>
    <x v="7"/>
    <n v="10"/>
    <n v="103"/>
    <n v="10.3"/>
    <m/>
    <m/>
    <x v="0"/>
    <x v="3"/>
    <x v="0"/>
    <n v="0"/>
    <x v="0"/>
  </r>
  <r>
    <s v="New Mexico"/>
    <x v="4"/>
    <x v="7"/>
    <n v="11"/>
    <n v="97"/>
    <n v="8.82"/>
    <m/>
    <m/>
    <x v="0"/>
    <x v="3"/>
    <x v="0"/>
    <n v="0"/>
    <x v="0"/>
  </r>
  <r>
    <s v="North Carolina"/>
    <x v="5"/>
    <x v="7"/>
    <n v="5"/>
    <n v="60"/>
    <n v="12"/>
    <m/>
    <m/>
    <x v="0"/>
    <x v="3"/>
    <x v="0"/>
    <n v="0"/>
    <x v="0"/>
  </r>
  <r>
    <s v="Northwestern"/>
    <x v="8"/>
    <x v="7"/>
    <n v="8"/>
    <n v="105"/>
    <n v="13.12"/>
    <m/>
    <m/>
    <x v="0"/>
    <x v="3"/>
    <x v="0"/>
    <n v="0"/>
    <x v="0"/>
  </r>
  <r>
    <s v="ODU"/>
    <x v="0"/>
    <x v="7"/>
    <n v="7"/>
    <n v="76"/>
    <n v="10.86"/>
    <m/>
    <m/>
    <x v="0"/>
    <x v="3"/>
    <x v="0"/>
    <n v="0"/>
    <x v="0"/>
  </r>
  <r>
    <s v="Ohio"/>
    <x v="3"/>
    <x v="7"/>
    <n v="4"/>
    <n v="59"/>
    <n v="14.75"/>
    <m/>
    <m/>
    <x v="0"/>
    <x v="3"/>
    <x v="0"/>
    <n v="0"/>
    <x v="0"/>
  </r>
  <r>
    <s v="Oklahoma State"/>
    <x v="1"/>
    <x v="7"/>
    <n v="8"/>
    <n v="29"/>
    <n v="3.62"/>
    <m/>
    <m/>
    <x v="0"/>
    <x v="3"/>
    <x v="0"/>
    <n v="0"/>
    <x v="0"/>
  </r>
  <r>
    <s v="Oregon State"/>
    <x v="9"/>
    <x v="7"/>
    <n v="6"/>
    <n v="62"/>
    <n v="10.33"/>
    <m/>
    <m/>
    <x v="0"/>
    <x v="3"/>
    <x v="0"/>
    <n v="0"/>
    <x v="0"/>
  </r>
  <r>
    <s v="Penn State"/>
    <x v="8"/>
    <x v="7"/>
    <n v="3"/>
    <n v="30"/>
    <n v="10"/>
    <m/>
    <m/>
    <x v="0"/>
    <x v="3"/>
    <x v="0"/>
    <n v="0"/>
    <x v="0"/>
  </r>
  <r>
    <s v="Purdue"/>
    <x v="8"/>
    <x v="7"/>
    <n v="9"/>
    <n v="94"/>
    <n v="10.44"/>
    <m/>
    <m/>
    <x v="0"/>
    <x v="3"/>
    <x v="0"/>
    <n v="0"/>
    <x v="0"/>
  </r>
  <r>
    <s v="Rice"/>
    <x v="6"/>
    <x v="7"/>
    <n v="3"/>
    <n v="30"/>
    <n v="10"/>
    <m/>
    <m/>
    <x v="0"/>
    <x v="3"/>
    <x v="0"/>
    <n v="0"/>
    <x v="0"/>
  </r>
  <r>
    <s v="Rutgers"/>
    <x v="8"/>
    <x v="7"/>
    <n v="13"/>
    <n v="138"/>
    <n v="10.62"/>
    <m/>
    <m/>
    <x v="0"/>
    <x v="3"/>
    <x v="0"/>
    <n v="0"/>
    <x v="0"/>
  </r>
  <r>
    <s v="S Alabama"/>
    <x v="0"/>
    <x v="7"/>
    <n v="5"/>
    <n v="54"/>
    <n v="10.8"/>
    <m/>
    <m/>
    <x v="0"/>
    <x v="3"/>
    <x v="0"/>
    <n v="0"/>
    <x v="0"/>
  </r>
  <r>
    <s v="SMU"/>
    <x v="5"/>
    <x v="7"/>
    <n v="7"/>
    <n v="86"/>
    <n v="12.29"/>
    <m/>
    <m/>
    <x v="0"/>
    <x v="3"/>
    <x v="0"/>
    <n v="0"/>
    <x v="0"/>
  </r>
  <r>
    <s v="Sam Houston"/>
    <x v="7"/>
    <x v="7"/>
    <n v="10"/>
    <n v="77"/>
    <n v="7.7"/>
    <m/>
    <m/>
    <x v="0"/>
    <x v="3"/>
    <x v="0"/>
    <n v="0"/>
    <x v="0"/>
  </r>
  <r>
    <s v="San Diego State"/>
    <x v="4"/>
    <x v="7"/>
    <n v="6"/>
    <n v="117"/>
    <n v="19.5"/>
    <m/>
    <m/>
    <x v="0"/>
    <x v="3"/>
    <x v="0"/>
    <n v="0"/>
    <x v="0"/>
  </r>
  <r>
    <s v="San Jose St"/>
    <x v="4"/>
    <x v="7"/>
    <n v="5"/>
    <n v="63"/>
    <n v="12.6"/>
    <m/>
    <m/>
    <x v="0"/>
    <x v="3"/>
    <x v="0"/>
    <n v="0"/>
    <x v="0"/>
  </r>
  <r>
    <s v="South Carolina"/>
    <x v="2"/>
    <x v="7"/>
    <n v="9"/>
    <n v="116"/>
    <n v="12.89"/>
    <m/>
    <m/>
    <x v="0"/>
    <x v="3"/>
    <x v="0"/>
    <n v="0"/>
    <x v="0"/>
  </r>
  <r>
    <s v="Southern Miss"/>
    <x v="0"/>
    <x v="7"/>
    <n v="8"/>
    <n v="78"/>
    <n v="9.75"/>
    <m/>
    <m/>
    <x v="0"/>
    <x v="3"/>
    <x v="0"/>
    <n v="0"/>
    <x v="0"/>
  </r>
  <r>
    <s v="Stanford"/>
    <x v="5"/>
    <x v="7"/>
    <n v="9"/>
    <n v="75"/>
    <n v="8.33"/>
    <m/>
    <m/>
    <x v="0"/>
    <x v="3"/>
    <x v="0"/>
    <n v="0"/>
    <x v="0"/>
  </r>
  <r>
    <s v="Syracuse"/>
    <x v="5"/>
    <x v="7"/>
    <n v="9"/>
    <n v="77"/>
    <n v="8.56"/>
    <m/>
    <m/>
    <x v="0"/>
    <x v="3"/>
    <x v="0"/>
    <n v="0"/>
    <x v="0"/>
  </r>
  <r>
    <s v="TCU"/>
    <x v="1"/>
    <x v="7"/>
    <n v="12"/>
    <n v="174"/>
    <n v="14.5"/>
    <m/>
    <m/>
    <x v="0"/>
    <x v="3"/>
    <x v="0"/>
    <n v="0"/>
    <x v="0"/>
  </r>
  <r>
    <s v="Temple"/>
    <x v="6"/>
    <x v="7"/>
    <n v="4"/>
    <n v="48"/>
    <n v="12"/>
    <m/>
    <m/>
    <x v="0"/>
    <x v="3"/>
    <x v="0"/>
    <n v="0"/>
    <x v="0"/>
  </r>
  <r>
    <s v="Texas State"/>
    <x v="0"/>
    <x v="7"/>
    <n v="5"/>
    <n v="66"/>
    <n v="13.2"/>
    <m/>
    <m/>
    <x v="0"/>
    <x v="3"/>
    <x v="0"/>
    <n v="0"/>
    <x v="0"/>
  </r>
  <r>
    <s v="Toledo"/>
    <x v="3"/>
    <x v="7"/>
    <n v="11"/>
    <n v="129"/>
    <n v="11.73"/>
    <m/>
    <m/>
    <x v="0"/>
    <x v="3"/>
    <x v="0"/>
    <n v="0"/>
    <x v="0"/>
  </r>
  <r>
    <s v="Troy"/>
    <x v="0"/>
    <x v="7"/>
    <n v="6"/>
    <n v="44"/>
    <n v="7.33"/>
    <m/>
    <m/>
    <x v="0"/>
    <x v="3"/>
    <x v="0"/>
    <n v="0"/>
    <x v="0"/>
  </r>
  <r>
    <s v="Tulane"/>
    <x v="6"/>
    <x v="7"/>
    <n v="9"/>
    <n v="136"/>
    <n v="15.11"/>
    <m/>
    <m/>
    <x v="0"/>
    <x v="3"/>
    <x v="0"/>
    <n v="0"/>
    <x v="0"/>
  </r>
  <r>
    <s v="Tulsa"/>
    <x v="6"/>
    <x v="7"/>
    <n v="15"/>
    <n v="217"/>
    <n v="14.47"/>
    <m/>
    <m/>
    <x v="0"/>
    <x v="3"/>
    <x v="0"/>
    <n v="0"/>
    <x v="0"/>
  </r>
  <r>
    <s v="UAB"/>
    <x v="6"/>
    <x v="7"/>
    <n v="5"/>
    <n v="65"/>
    <n v="13"/>
    <m/>
    <m/>
    <x v="0"/>
    <x v="3"/>
    <x v="0"/>
    <n v="0"/>
    <x v="0"/>
  </r>
  <r>
    <s v="UCLA"/>
    <x v="8"/>
    <x v="7"/>
    <n v="5"/>
    <n v="53"/>
    <n v="10.6"/>
    <m/>
    <m/>
    <x v="0"/>
    <x v="3"/>
    <x v="0"/>
    <n v="0"/>
    <x v="0"/>
  </r>
  <r>
    <s v="UConn"/>
    <x v="10"/>
    <x v="7"/>
    <n v="6"/>
    <n v="72"/>
    <n v="12"/>
    <m/>
    <m/>
    <x v="0"/>
    <x v="3"/>
    <x v="0"/>
    <n v="0"/>
    <x v="0"/>
  </r>
  <r>
    <s v="UL Monroe"/>
    <x v="0"/>
    <x v="7"/>
    <n v="5"/>
    <n v="36"/>
    <n v="7.2"/>
    <m/>
    <m/>
    <x v="0"/>
    <x v="3"/>
    <x v="0"/>
    <n v="0"/>
    <x v="0"/>
  </r>
  <r>
    <s v="UMass"/>
    <x v="3"/>
    <x v="7"/>
    <n v="3"/>
    <n v="30"/>
    <n v="10"/>
    <m/>
    <m/>
    <x v="0"/>
    <x v="3"/>
    <x v="0"/>
    <n v="0"/>
    <x v="0"/>
  </r>
  <r>
    <s v="UNLV"/>
    <x v="4"/>
    <x v="7"/>
    <n v="10"/>
    <n v="144"/>
    <n v="14.4"/>
    <m/>
    <m/>
    <x v="0"/>
    <x v="3"/>
    <x v="0"/>
    <n v="0"/>
    <x v="0"/>
  </r>
  <r>
    <s v="USF"/>
    <x v="6"/>
    <x v="7"/>
    <n v="6"/>
    <n v="106"/>
    <n v="17.670000000000002"/>
    <m/>
    <m/>
    <x v="0"/>
    <x v="3"/>
    <x v="0"/>
    <n v="0"/>
    <x v="0"/>
  </r>
  <r>
    <s v="UTEP"/>
    <x v="7"/>
    <x v="7"/>
    <n v="4"/>
    <n v="41"/>
    <n v="10.25"/>
    <m/>
    <m/>
    <x v="0"/>
    <x v="3"/>
    <x v="0"/>
    <n v="0"/>
    <x v="0"/>
  </r>
  <r>
    <s v="UTSA"/>
    <x v="6"/>
    <x v="7"/>
    <n v="10"/>
    <n v="147"/>
    <n v="14.7"/>
    <m/>
    <m/>
    <x v="0"/>
    <x v="3"/>
    <x v="0"/>
    <n v="0"/>
    <x v="0"/>
  </r>
  <r>
    <s v="Utah State"/>
    <x v="4"/>
    <x v="7"/>
    <n v="6"/>
    <n v="49"/>
    <n v="8.17"/>
    <m/>
    <m/>
    <x v="0"/>
    <x v="3"/>
    <x v="0"/>
    <n v="0"/>
    <x v="0"/>
  </r>
  <r>
    <s v="Virginia Tech"/>
    <x v="5"/>
    <x v="7"/>
    <n v="7"/>
    <n v="68"/>
    <n v="9.7100000000000009"/>
    <m/>
    <m/>
    <x v="0"/>
    <x v="3"/>
    <x v="0"/>
    <n v="0"/>
    <x v="0"/>
  </r>
  <r>
    <s v="W Michigan"/>
    <x v="3"/>
    <x v="7"/>
    <n v="7"/>
    <n v="89"/>
    <n v="12.71"/>
    <m/>
    <m/>
    <x v="0"/>
    <x v="3"/>
    <x v="0"/>
    <n v="0"/>
    <x v="0"/>
  </r>
  <r>
    <s v="WKU"/>
    <x v="7"/>
    <x v="7"/>
    <n v="7"/>
    <n v="74"/>
    <n v="10.57"/>
    <m/>
    <m/>
    <x v="0"/>
    <x v="3"/>
    <x v="0"/>
    <n v="0"/>
    <x v="0"/>
  </r>
  <r>
    <s v="Washington State"/>
    <x v="9"/>
    <x v="7"/>
    <n v="5"/>
    <n v="74"/>
    <n v="14.8"/>
    <m/>
    <m/>
    <x v="0"/>
    <x v="3"/>
    <x v="0"/>
    <n v="0"/>
    <x v="0"/>
  </r>
  <r>
    <s v="West Virginia"/>
    <x v="1"/>
    <x v="7"/>
    <n v="10"/>
    <n v="144"/>
    <n v="14.4"/>
    <m/>
    <m/>
    <x v="0"/>
    <x v="3"/>
    <x v="0"/>
    <n v="0"/>
    <x v="0"/>
  </r>
  <r>
    <s v="Wisconsin"/>
    <x v="8"/>
    <x v="7"/>
    <n v="4"/>
    <n v="47"/>
    <n v="11.75"/>
    <m/>
    <m/>
    <x v="0"/>
    <x v="3"/>
    <x v="0"/>
    <n v="0"/>
    <x v="0"/>
  </r>
  <r>
    <s v="Wyoming"/>
    <x v="4"/>
    <x v="7"/>
    <n v="11"/>
    <n v="136"/>
    <n v="12.36"/>
    <m/>
    <m/>
    <x v="0"/>
    <x v="3"/>
    <x v="0"/>
    <n v="0"/>
    <x v="0"/>
  </r>
  <r>
    <s v="Air Force"/>
    <x v="4"/>
    <x v="13"/>
    <n v="15"/>
    <n v="54"/>
    <n v="3.6"/>
    <m/>
    <m/>
    <x v="0"/>
    <x v="4"/>
    <x v="0"/>
    <n v="0"/>
    <x v="0"/>
  </r>
  <r>
    <s v="Akron"/>
    <x v="3"/>
    <x v="13"/>
    <n v="7"/>
    <n v="84"/>
    <n v="12"/>
    <m/>
    <m/>
    <x v="0"/>
    <x v="4"/>
    <x v="0"/>
    <n v="0"/>
    <x v="0"/>
  </r>
  <r>
    <s v="App State"/>
    <x v="0"/>
    <x v="13"/>
    <n v="9"/>
    <n v="31"/>
    <n v="3.44"/>
    <m/>
    <m/>
    <x v="0"/>
    <x v="4"/>
    <x v="0"/>
    <n v="0"/>
    <x v="0"/>
  </r>
  <r>
    <s v="Arizona"/>
    <x v="1"/>
    <x v="13"/>
    <n v="27"/>
    <n v="169"/>
    <n v="6.26"/>
    <m/>
    <m/>
    <x v="0"/>
    <x v="4"/>
    <x v="0"/>
    <n v="0"/>
    <x v="0"/>
  </r>
  <r>
    <s v="Arizona State"/>
    <x v="1"/>
    <x v="13"/>
    <n v="21"/>
    <n v="142"/>
    <n v="6.76"/>
    <m/>
    <m/>
    <x v="0"/>
    <x v="4"/>
    <x v="0"/>
    <n v="0"/>
    <x v="0"/>
  </r>
  <r>
    <s v="Arkansas"/>
    <x v="2"/>
    <x v="13"/>
    <n v="21"/>
    <n v="207"/>
    <n v="9.86"/>
    <m/>
    <m/>
    <x v="0"/>
    <x v="4"/>
    <x v="0"/>
    <n v="0"/>
    <x v="0"/>
  </r>
  <r>
    <s v="Arkansas State"/>
    <x v="0"/>
    <x v="13"/>
    <n v="25"/>
    <n v="201"/>
    <n v="8.0399999999999991"/>
    <m/>
    <m/>
    <x v="0"/>
    <x v="4"/>
    <x v="0"/>
    <n v="0"/>
    <x v="0"/>
  </r>
  <r>
    <s v="Army"/>
    <x v="6"/>
    <x v="13"/>
    <n v="6"/>
    <n v="36"/>
    <n v="6"/>
    <m/>
    <m/>
    <x v="0"/>
    <x v="4"/>
    <x v="0"/>
    <n v="0"/>
    <x v="0"/>
  </r>
  <r>
    <s v="Auburn"/>
    <x v="2"/>
    <x v="13"/>
    <n v="22"/>
    <n v="170"/>
    <n v="7.73"/>
    <m/>
    <m/>
    <x v="0"/>
    <x v="4"/>
    <x v="0"/>
    <n v="0"/>
    <x v="0"/>
  </r>
  <r>
    <s v="Ball State"/>
    <x v="3"/>
    <x v="13"/>
    <n v="7"/>
    <n v="46"/>
    <n v="6.57"/>
    <m/>
    <m/>
    <x v="0"/>
    <x v="4"/>
    <x v="0"/>
    <n v="0"/>
    <x v="0"/>
  </r>
  <r>
    <s v="Baylor"/>
    <x v="1"/>
    <x v="13"/>
    <n v="27"/>
    <n v="131"/>
    <n v="4.8499999999999996"/>
    <m/>
    <m/>
    <x v="0"/>
    <x v="4"/>
    <x v="0"/>
    <n v="0"/>
    <x v="0"/>
  </r>
  <r>
    <s v="Boise State"/>
    <x v="4"/>
    <x v="13"/>
    <n v="16"/>
    <n v="180"/>
    <n v="11.25"/>
    <m/>
    <m/>
    <x v="0"/>
    <x v="4"/>
    <x v="0"/>
    <n v="0"/>
    <x v="0"/>
  </r>
  <r>
    <s v="Boston College"/>
    <x v="5"/>
    <x v="13"/>
    <n v="8"/>
    <n v="63"/>
    <n v="7.88"/>
    <m/>
    <m/>
    <x v="0"/>
    <x v="4"/>
    <x v="0"/>
    <n v="0"/>
    <x v="0"/>
  </r>
  <r>
    <s v="Bowling Green"/>
    <x v="3"/>
    <x v="13"/>
    <n v="8"/>
    <n v="105"/>
    <n v="13.12"/>
    <m/>
    <m/>
    <x v="0"/>
    <x v="4"/>
    <x v="0"/>
    <n v="0"/>
    <x v="0"/>
  </r>
  <r>
    <s v="Buffalo"/>
    <x v="3"/>
    <x v="13"/>
    <n v="9"/>
    <n v="76"/>
    <n v="8.44"/>
    <m/>
    <m/>
    <x v="0"/>
    <x v="4"/>
    <x v="0"/>
    <n v="0"/>
    <x v="0"/>
  </r>
  <r>
    <s v="C Michigan"/>
    <x v="3"/>
    <x v="13"/>
    <n v="8"/>
    <n v="37"/>
    <n v="4.62"/>
    <m/>
    <m/>
    <x v="0"/>
    <x v="4"/>
    <x v="0"/>
    <n v="0"/>
    <x v="0"/>
  </r>
  <r>
    <s v="California"/>
    <x v="5"/>
    <x v="13"/>
    <n v="15"/>
    <n v="113"/>
    <n v="7.53"/>
    <m/>
    <m/>
    <x v="0"/>
    <x v="4"/>
    <x v="0"/>
    <n v="0"/>
    <x v="0"/>
  </r>
  <r>
    <s v="Charlotte"/>
    <x v="6"/>
    <x v="13"/>
    <n v="12"/>
    <n v="127"/>
    <n v="10.58"/>
    <m/>
    <m/>
    <x v="0"/>
    <x v="4"/>
    <x v="0"/>
    <n v="0"/>
    <x v="0"/>
  </r>
  <r>
    <s v="Clemson"/>
    <x v="5"/>
    <x v="13"/>
    <n v="11"/>
    <n v="139"/>
    <n v="12.64"/>
    <m/>
    <m/>
    <x v="0"/>
    <x v="4"/>
    <x v="0"/>
    <n v="0"/>
    <x v="0"/>
  </r>
  <r>
    <s v="Coastal Carolina"/>
    <x v="0"/>
    <x v="13"/>
    <n v="20"/>
    <n v="361"/>
    <n v="18.05"/>
    <m/>
    <m/>
    <x v="0"/>
    <x v="4"/>
    <x v="0"/>
    <n v="0"/>
    <x v="0"/>
  </r>
  <r>
    <s v="Colorado"/>
    <x v="1"/>
    <x v="13"/>
    <n v="16"/>
    <n v="245"/>
    <n v="15.31"/>
    <m/>
    <m/>
    <x v="0"/>
    <x v="4"/>
    <x v="0"/>
    <n v="0"/>
    <x v="0"/>
  </r>
  <r>
    <s v="Colorado State"/>
    <x v="4"/>
    <x v="13"/>
    <n v="15"/>
    <n v="240"/>
    <n v="16"/>
    <m/>
    <m/>
    <x v="0"/>
    <x v="4"/>
    <x v="0"/>
    <n v="0"/>
    <x v="0"/>
  </r>
  <r>
    <s v="Delaware"/>
    <x v="7"/>
    <x v="13"/>
    <n v="15"/>
    <n v="234"/>
    <n v="15.6"/>
    <m/>
    <m/>
    <x v="0"/>
    <x v="4"/>
    <x v="0"/>
    <n v="0"/>
    <x v="0"/>
  </r>
  <r>
    <s v="Duke"/>
    <x v="5"/>
    <x v="13"/>
    <n v="11"/>
    <n v="82"/>
    <n v="7.45"/>
    <m/>
    <m/>
    <x v="0"/>
    <x v="4"/>
    <x v="0"/>
    <n v="0"/>
    <x v="0"/>
  </r>
  <r>
    <s v="E Michigan"/>
    <x v="3"/>
    <x v="13"/>
    <n v="16"/>
    <n v="206"/>
    <n v="12.88"/>
    <m/>
    <m/>
    <x v="0"/>
    <x v="4"/>
    <x v="0"/>
    <n v="0"/>
    <x v="0"/>
  </r>
  <r>
    <s v="East Carolina"/>
    <x v="6"/>
    <x v="13"/>
    <n v="16"/>
    <n v="136"/>
    <n v="8.5"/>
    <m/>
    <m/>
    <x v="0"/>
    <x v="4"/>
    <x v="0"/>
    <n v="0"/>
    <x v="0"/>
  </r>
  <r>
    <s v="FAU"/>
    <x v="6"/>
    <x v="13"/>
    <n v="12"/>
    <n v="104"/>
    <n v="8.67"/>
    <m/>
    <m/>
    <x v="0"/>
    <x v="4"/>
    <x v="0"/>
    <n v="0"/>
    <x v="0"/>
  </r>
  <r>
    <s v="FIU"/>
    <x v="7"/>
    <x v="13"/>
    <n v="16"/>
    <n v="259"/>
    <n v="16.190000000000001"/>
    <m/>
    <m/>
    <x v="0"/>
    <x v="4"/>
    <x v="0"/>
    <n v="0"/>
    <x v="0"/>
  </r>
  <r>
    <s v="Florida"/>
    <x v="2"/>
    <x v="13"/>
    <n v="13"/>
    <n v="151"/>
    <n v="11.62"/>
    <m/>
    <m/>
    <x v="0"/>
    <x v="4"/>
    <x v="0"/>
    <n v="0"/>
    <x v="0"/>
  </r>
  <r>
    <s v="Florida State"/>
    <x v="5"/>
    <x v="13"/>
    <n v="8"/>
    <n v="92"/>
    <n v="11.5"/>
    <m/>
    <m/>
    <x v="0"/>
    <x v="4"/>
    <x v="0"/>
    <n v="0"/>
    <x v="0"/>
  </r>
  <r>
    <s v="Fresno State"/>
    <x v="4"/>
    <x v="13"/>
    <n v="23"/>
    <n v="160"/>
    <n v="6.96"/>
    <m/>
    <m/>
    <x v="0"/>
    <x v="4"/>
    <x v="0"/>
    <n v="0"/>
    <x v="0"/>
  </r>
  <r>
    <s v="Georgia Southern"/>
    <x v="0"/>
    <x v="13"/>
    <n v="15"/>
    <n v="234"/>
    <n v="15.6"/>
    <m/>
    <m/>
    <x v="0"/>
    <x v="4"/>
    <x v="0"/>
    <n v="0"/>
    <x v="0"/>
  </r>
  <r>
    <s v="Georgia State"/>
    <x v="0"/>
    <x v="13"/>
    <n v="15"/>
    <n v="77"/>
    <n v="5.13"/>
    <m/>
    <m/>
    <x v="0"/>
    <x v="4"/>
    <x v="0"/>
    <n v="0"/>
    <x v="0"/>
  </r>
  <r>
    <s v="Hawai'i"/>
    <x v="4"/>
    <x v="13"/>
    <n v="16"/>
    <n v="158"/>
    <n v="9.8800000000000008"/>
    <m/>
    <m/>
    <x v="0"/>
    <x v="4"/>
    <x v="0"/>
    <n v="0"/>
    <x v="0"/>
  </r>
  <r>
    <s v="Houston"/>
    <x v="1"/>
    <x v="13"/>
    <n v="18"/>
    <n v="240"/>
    <n v="13.33"/>
    <m/>
    <m/>
    <x v="0"/>
    <x v="4"/>
    <x v="0"/>
    <n v="0"/>
    <x v="0"/>
  </r>
  <r>
    <s v="Illinois"/>
    <x v="8"/>
    <x v="13"/>
    <n v="11"/>
    <n v="64"/>
    <n v="5.82"/>
    <m/>
    <m/>
    <x v="0"/>
    <x v="4"/>
    <x v="0"/>
    <n v="0"/>
    <x v="0"/>
  </r>
  <r>
    <s v="Iowa State"/>
    <x v="1"/>
    <x v="13"/>
    <n v="19"/>
    <n v="382"/>
    <n v="20.11"/>
    <m/>
    <m/>
    <x v="0"/>
    <x v="4"/>
    <x v="0"/>
    <n v="0"/>
    <x v="0"/>
  </r>
  <r>
    <s v="J Madison"/>
    <x v="0"/>
    <x v="13"/>
    <n v="11"/>
    <n v="64"/>
    <n v="5.82"/>
    <m/>
    <m/>
    <x v="0"/>
    <x v="4"/>
    <x v="0"/>
    <n v="0"/>
    <x v="0"/>
  </r>
  <r>
    <s v="Jacksonville State"/>
    <x v="7"/>
    <x v="13"/>
    <n v="11"/>
    <n v="61"/>
    <n v="5.55"/>
    <m/>
    <m/>
    <x v="0"/>
    <x v="4"/>
    <x v="0"/>
    <n v="0"/>
    <x v="0"/>
  </r>
  <r>
    <s v="Kansas"/>
    <x v="1"/>
    <x v="13"/>
    <n v="16"/>
    <n v="110"/>
    <n v="6.88"/>
    <m/>
    <m/>
    <x v="0"/>
    <x v="4"/>
    <x v="0"/>
    <n v="0"/>
    <x v="0"/>
  </r>
  <r>
    <s v="Kansas State"/>
    <x v="1"/>
    <x v="13"/>
    <n v="9"/>
    <n v="104"/>
    <n v="11.56"/>
    <m/>
    <m/>
    <x v="0"/>
    <x v="4"/>
    <x v="0"/>
    <n v="0"/>
    <x v="0"/>
  </r>
  <r>
    <s v="Kennesaw State"/>
    <x v="7"/>
    <x v="13"/>
    <n v="16"/>
    <n v="276"/>
    <n v="17.25"/>
    <m/>
    <m/>
    <x v="0"/>
    <x v="4"/>
    <x v="0"/>
    <n v="0"/>
    <x v="0"/>
  </r>
  <r>
    <s v="Kent State"/>
    <x v="3"/>
    <x v="13"/>
    <n v="6"/>
    <n v="99"/>
    <n v="16.5"/>
    <m/>
    <m/>
    <x v="0"/>
    <x v="4"/>
    <x v="0"/>
    <n v="0"/>
    <x v="0"/>
  </r>
  <r>
    <s v="Kentucky"/>
    <x v="2"/>
    <x v="13"/>
    <n v="14"/>
    <n v="131"/>
    <n v="9.36"/>
    <m/>
    <m/>
    <x v="0"/>
    <x v="4"/>
    <x v="0"/>
    <n v="0"/>
    <x v="0"/>
  </r>
  <r>
    <s v="LSU"/>
    <x v="2"/>
    <x v="13"/>
    <n v="11"/>
    <n v="56"/>
    <n v="5.09"/>
    <m/>
    <m/>
    <x v="0"/>
    <x v="4"/>
    <x v="0"/>
    <n v="0"/>
    <x v="0"/>
  </r>
  <r>
    <s v="La Tech"/>
    <x v="7"/>
    <x v="13"/>
    <n v="10"/>
    <n v="65"/>
    <n v="6.5"/>
    <m/>
    <m/>
    <x v="0"/>
    <x v="4"/>
    <x v="0"/>
    <n v="0"/>
    <x v="0"/>
  </r>
  <r>
    <s v="Liberty"/>
    <x v="7"/>
    <x v="13"/>
    <n v="15"/>
    <n v="199"/>
    <n v="13.27"/>
    <m/>
    <m/>
    <x v="0"/>
    <x v="4"/>
    <x v="0"/>
    <n v="0"/>
    <x v="0"/>
  </r>
  <r>
    <s v="Louisiana"/>
    <x v="0"/>
    <x v="13"/>
    <n v="10"/>
    <n v="92"/>
    <n v="9.1999999999999993"/>
    <m/>
    <m/>
    <x v="0"/>
    <x v="4"/>
    <x v="0"/>
    <n v="0"/>
    <x v="0"/>
  </r>
  <r>
    <s v="MTSU"/>
    <x v="7"/>
    <x v="13"/>
    <n v="14"/>
    <n v="138"/>
    <n v="9.86"/>
    <m/>
    <m/>
    <x v="0"/>
    <x v="4"/>
    <x v="0"/>
    <n v="0"/>
    <x v="0"/>
  </r>
  <r>
    <s v="Marshall"/>
    <x v="0"/>
    <x v="13"/>
    <n v="19"/>
    <n v="81"/>
    <n v="4.26"/>
    <m/>
    <m/>
    <x v="0"/>
    <x v="4"/>
    <x v="0"/>
    <n v="0"/>
    <x v="0"/>
  </r>
  <r>
    <s v="Maryland"/>
    <x v="8"/>
    <x v="13"/>
    <n v="4"/>
    <n v="26"/>
    <n v="6.5"/>
    <m/>
    <m/>
    <x v="0"/>
    <x v="4"/>
    <x v="0"/>
    <n v="0"/>
    <x v="0"/>
  </r>
  <r>
    <s v="Memphis"/>
    <x v="6"/>
    <x v="13"/>
    <n v="16"/>
    <n v="120"/>
    <n v="7.5"/>
    <m/>
    <m/>
    <x v="0"/>
    <x v="4"/>
    <x v="0"/>
    <n v="0"/>
    <x v="0"/>
  </r>
  <r>
    <s v="Miami (OH)"/>
    <x v="3"/>
    <x v="13"/>
    <n v="14"/>
    <n v="145"/>
    <n v="10.36"/>
    <m/>
    <m/>
    <x v="0"/>
    <x v="4"/>
    <x v="0"/>
    <n v="0"/>
    <x v="0"/>
  </r>
  <r>
    <s v="Michigan State"/>
    <x v="8"/>
    <x v="13"/>
    <n v="12"/>
    <n v="62"/>
    <n v="5.17"/>
    <m/>
    <m/>
    <x v="0"/>
    <x v="4"/>
    <x v="0"/>
    <n v="0"/>
    <x v="0"/>
  </r>
  <r>
    <s v="Minnesota"/>
    <x v="8"/>
    <x v="13"/>
    <n v="7"/>
    <n v="13"/>
    <n v="1.86"/>
    <m/>
    <m/>
    <x v="0"/>
    <x v="4"/>
    <x v="0"/>
    <n v="0"/>
    <x v="0"/>
  </r>
  <r>
    <s v="Mississippi State"/>
    <x v="2"/>
    <x v="13"/>
    <n v="19"/>
    <n v="138"/>
    <n v="7.26"/>
    <m/>
    <m/>
    <x v="0"/>
    <x v="4"/>
    <x v="0"/>
    <n v="0"/>
    <x v="0"/>
  </r>
  <r>
    <s v="Missouri State"/>
    <x v="7"/>
    <x v="13"/>
    <n v="12"/>
    <n v="144"/>
    <n v="12"/>
    <m/>
    <m/>
    <x v="0"/>
    <x v="4"/>
    <x v="0"/>
    <n v="0"/>
    <x v="0"/>
  </r>
  <r>
    <s v="N Illinois"/>
    <x v="3"/>
    <x v="13"/>
    <n v="9"/>
    <n v="141"/>
    <n v="15.67"/>
    <m/>
    <m/>
    <x v="0"/>
    <x v="4"/>
    <x v="0"/>
    <n v="0"/>
    <x v="0"/>
  </r>
  <r>
    <s v="N Texas"/>
    <x v="6"/>
    <x v="13"/>
    <n v="19"/>
    <n v="179"/>
    <n v="9.42"/>
    <m/>
    <m/>
    <x v="0"/>
    <x v="4"/>
    <x v="0"/>
    <n v="0"/>
    <x v="0"/>
  </r>
  <r>
    <s v="NC State"/>
    <x v="5"/>
    <x v="13"/>
    <n v="14"/>
    <n v="112"/>
    <n v="8"/>
    <m/>
    <m/>
    <x v="0"/>
    <x v="4"/>
    <x v="0"/>
    <n v="0"/>
    <x v="0"/>
  </r>
  <r>
    <s v="Navy"/>
    <x v="6"/>
    <x v="13"/>
    <n v="11"/>
    <n v="60"/>
    <n v="5.45"/>
    <m/>
    <m/>
    <x v="0"/>
    <x v="4"/>
    <x v="0"/>
    <n v="0"/>
    <x v="0"/>
  </r>
  <r>
    <s v="Nebraska"/>
    <x v="8"/>
    <x v="13"/>
    <n v="8"/>
    <n v="68"/>
    <n v="8.5"/>
    <m/>
    <m/>
    <x v="0"/>
    <x v="4"/>
    <x v="0"/>
    <n v="0"/>
    <x v="0"/>
  </r>
  <r>
    <s v="Nevada"/>
    <x v="4"/>
    <x v="13"/>
    <n v="10"/>
    <n v="133"/>
    <n v="13.3"/>
    <m/>
    <m/>
    <x v="0"/>
    <x v="4"/>
    <x v="0"/>
    <n v="0"/>
    <x v="0"/>
  </r>
  <r>
    <s v="New Mexico"/>
    <x v="4"/>
    <x v="13"/>
    <n v="14"/>
    <n v="252"/>
    <n v="18"/>
    <m/>
    <m/>
    <x v="0"/>
    <x v="4"/>
    <x v="0"/>
    <n v="0"/>
    <x v="0"/>
  </r>
  <r>
    <s v="New Mexico State"/>
    <x v="7"/>
    <x v="13"/>
    <n v="15"/>
    <n v="74"/>
    <n v="4.93"/>
    <m/>
    <m/>
    <x v="0"/>
    <x v="4"/>
    <x v="0"/>
    <n v="0"/>
    <x v="0"/>
  </r>
  <r>
    <s v="North Carolina"/>
    <x v="5"/>
    <x v="13"/>
    <n v="17"/>
    <n v="149"/>
    <n v="8.76"/>
    <m/>
    <m/>
    <x v="0"/>
    <x v="4"/>
    <x v="0"/>
    <n v="0"/>
    <x v="0"/>
  </r>
  <r>
    <s v="Northwestern"/>
    <x v="8"/>
    <x v="13"/>
    <n v="6"/>
    <n v="39"/>
    <n v="6.5"/>
    <m/>
    <m/>
    <x v="0"/>
    <x v="4"/>
    <x v="0"/>
    <n v="0"/>
    <x v="0"/>
  </r>
  <r>
    <s v="ODU"/>
    <x v="0"/>
    <x v="13"/>
    <n v="11"/>
    <n v="83"/>
    <n v="7.55"/>
    <m/>
    <m/>
    <x v="0"/>
    <x v="4"/>
    <x v="0"/>
    <n v="0"/>
    <x v="0"/>
  </r>
  <r>
    <s v="Ohio"/>
    <x v="3"/>
    <x v="13"/>
    <n v="15"/>
    <n v="142"/>
    <n v="9.4700000000000006"/>
    <m/>
    <m/>
    <x v="0"/>
    <x v="4"/>
    <x v="0"/>
    <n v="0"/>
    <x v="0"/>
  </r>
  <r>
    <s v="Oregon State"/>
    <x v="9"/>
    <x v="13"/>
    <n v="16"/>
    <n v="163"/>
    <n v="10.19"/>
    <m/>
    <m/>
    <x v="0"/>
    <x v="4"/>
    <x v="0"/>
    <n v="0"/>
    <x v="0"/>
  </r>
  <r>
    <s v="Penn State"/>
    <x v="8"/>
    <x v="13"/>
    <n v="3"/>
    <n v="1"/>
    <n v="0.33"/>
    <m/>
    <m/>
    <x v="0"/>
    <x v="4"/>
    <x v="0"/>
    <n v="0"/>
    <x v="0"/>
  </r>
  <r>
    <s v="Purdue"/>
    <x v="8"/>
    <x v="13"/>
    <n v="12"/>
    <n v="103"/>
    <n v="8.58"/>
    <m/>
    <m/>
    <x v="0"/>
    <x v="4"/>
    <x v="0"/>
    <n v="0"/>
    <x v="0"/>
  </r>
  <r>
    <s v="Rice"/>
    <x v="6"/>
    <x v="13"/>
    <n v="8"/>
    <n v="132"/>
    <n v="16.5"/>
    <m/>
    <m/>
    <x v="0"/>
    <x v="4"/>
    <x v="0"/>
    <n v="0"/>
    <x v="0"/>
  </r>
  <r>
    <s v="Rutgers"/>
    <x v="8"/>
    <x v="13"/>
    <n v="7"/>
    <n v="32"/>
    <n v="4.57"/>
    <m/>
    <m/>
    <x v="0"/>
    <x v="4"/>
    <x v="0"/>
    <n v="0"/>
    <x v="0"/>
  </r>
  <r>
    <s v="S Alabama"/>
    <x v="0"/>
    <x v="13"/>
    <n v="19"/>
    <n v="112"/>
    <n v="5.89"/>
    <m/>
    <m/>
    <x v="0"/>
    <x v="4"/>
    <x v="0"/>
    <n v="0"/>
    <x v="0"/>
  </r>
  <r>
    <s v="SMU"/>
    <x v="5"/>
    <x v="13"/>
    <n v="18"/>
    <n v="180"/>
    <n v="10"/>
    <m/>
    <m/>
    <x v="0"/>
    <x v="4"/>
    <x v="0"/>
    <n v="0"/>
    <x v="0"/>
  </r>
  <r>
    <s v="Sam Houston"/>
    <x v="7"/>
    <x v="13"/>
    <n v="13"/>
    <n v="153"/>
    <n v="11.77"/>
    <m/>
    <m/>
    <x v="0"/>
    <x v="4"/>
    <x v="0"/>
    <n v="0"/>
    <x v="0"/>
  </r>
  <r>
    <s v="San Diego State"/>
    <x v="4"/>
    <x v="13"/>
    <n v="17"/>
    <n v="134"/>
    <n v="7.88"/>
    <m/>
    <m/>
    <x v="0"/>
    <x v="4"/>
    <x v="0"/>
    <n v="0"/>
    <x v="0"/>
  </r>
  <r>
    <s v="San Jose St"/>
    <x v="4"/>
    <x v="13"/>
    <n v="15"/>
    <n v="120"/>
    <n v="8"/>
    <m/>
    <m/>
    <x v="0"/>
    <x v="4"/>
    <x v="0"/>
    <n v="0"/>
    <x v="0"/>
  </r>
  <r>
    <s v="South Carolina"/>
    <x v="2"/>
    <x v="13"/>
    <n v="11"/>
    <n v="72"/>
    <n v="6.55"/>
    <m/>
    <m/>
    <x v="0"/>
    <x v="4"/>
    <x v="0"/>
    <n v="0"/>
    <x v="0"/>
  </r>
  <r>
    <s v="Southern Miss"/>
    <x v="0"/>
    <x v="13"/>
    <n v="13"/>
    <n v="79"/>
    <n v="6.08"/>
    <m/>
    <m/>
    <x v="0"/>
    <x v="4"/>
    <x v="0"/>
    <n v="0"/>
    <x v="0"/>
  </r>
  <r>
    <s v="Stanford"/>
    <x v="5"/>
    <x v="13"/>
    <n v="12"/>
    <n v="123"/>
    <n v="10.25"/>
    <m/>
    <m/>
    <x v="0"/>
    <x v="4"/>
    <x v="0"/>
    <n v="0"/>
    <x v="0"/>
  </r>
  <r>
    <s v="Syracuse"/>
    <x v="5"/>
    <x v="13"/>
    <n v="13"/>
    <n v="139"/>
    <n v="10.69"/>
    <m/>
    <m/>
    <x v="0"/>
    <x v="4"/>
    <x v="0"/>
    <n v="0"/>
    <x v="0"/>
  </r>
  <r>
    <s v="TCU"/>
    <x v="1"/>
    <x v="13"/>
    <n v="14"/>
    <n v="159"/>
    <n v="11.36"/>
    <m/>
    <m/>
    <x v="0"/>
    <x v="4"/>
    <x v="0"/>
    <n v="0"/>
    <x v="0"/>
  </r>
  <r>
    <s v="Temple"/>
    <x v="6"/>
    <x v="13"/>
    <n v="7"/>
    <n v="67"/>
    <n v="9.57"/>
    <m/>
    <m/>
    <x v="0"/>
    <x v="4"/>
    <x v="0"/>
    <n v="0"/>
    <x v="0"/>
  </r>
  <r>
    <s v="Texas State"/>
    <x v="0"/>
    <x v="13"/>
    <n v="16"/>
    <n v="135"/>
    <n v="8.44"/>
    <m/>
    <m/>
    <x v="0"/>
    <x v="4"/>
    <x v="0"/>
    <n v="0"/>
    <x v="0"/>
  </r>
  <r>
    <s v="Toledo"/>
    <x v="3"/>
    <x v="13"/>
    <n v="12"/>
    <n v="120"/>
    <n v="10"/>
    <m/>
    <m/>
    <x v="0"/>
    <x v="4"/>
    <x v="0"/>
    <n v="0"/>
    <x v="0"/>
  </r>
  <r>
    <s v="Troy"/>
    <x v="0"/>
    <x v="13"/>
    <n v="10"/>
    <n v="48"/>
    <n v="4.8"/>
    <m/>
    <m/>
    <x v="0"/>
    <x v="4"/>
    <x v="0"/>
    <n v="0"/>
    <x v="0"/>
  </r>
  <r>
    <s v="Tulane"/>
    <x v="6"/>
    <x v="13"/>
    <n v="17"/>
    <n v="197"/>
    <n v="11.59"/>
    <m/>
    <m/>
    <x v="0"/>
    <x v="4"/>
    <x v="0"/>
    <n v="0"/>
    <x v="0"/>
  </r>
  <r>
    <s v="Tulsa"/>
    <x v="6"/>
    <x v="13"/>
    <n v="8"/>
    <n v="27"/>
    <n v="3.38"/>
    <m/>
    <m/>
    <x v="0"/>
    <x v="4"/>
    <x v="0"/>
    <n v="0"/>
    <x v="0"/>
  </r>
  <r>
    <s v="UAB"/>
    <x v="6"/>
    <x v="13"/>
    <n v="15"/>
    <n v="191"/>
    <n v="12.73"/>
    <m/>
    <m/>
    <x v="0"/>
    <x v="4"/>
    <x v="0"/>
    <n v="0"/>
    <x v="0"/>
  </r>
  <r>
    <s v="UCF"/>
    <x v="1"/>
    <x v="13"/>
    <n v="12"/>
    <n v="100"/>
    <n v="8.33"/>
    <m/>
    <m/>
    <x v="0"/>
    <x v="4"/>
    <x v="0"/>
    <n v="0"/>
    <x v="0"/>
  </r>
  <r>
    <s v="UCLA"/>
    <x v="8"/>
    <x v="13"/>
    <n v="12"/>
    <n v="73"/>
    <n v="6.08"/>
    <m/>
    <m/>
    <x v="0"/>
    <x v="4"/>
    <x v="0"/>
    <n v="0"/>
    <x v="0"/>
  </r>
  <r>
    <s v="UConn"/>
    <x v="10"/>
    <x v="13"/>
    <n v="21"/>
    <n v="140"/>
    <n v="6.67"/>
    <m/>
    <m/>
    <x v="0"/>
    <x v="4"/>
    <x v="0"/>
    <n v="0"/>
    <x v="0"/>
  </r>
  <r>
    <s v="UL Monroe"/>
    <x v="0"/>
    <x v="13"/>
    <n v="19"/>
    <n v="216"/>
    <n v="11.37"/>
    <m/>
    <m/>
    <x v="0"/>
    <x v="4"/>
    <x v="0"/>
    <n v="0"/>
    <x v="0"/>
  </r>
  <r>
    <s v="UMass"/>
    <x v="3"/>
    <x v="13"/>
    <n v="17"/>
    <n v="161"/>
    <n v="9.4700000000000006"/>
    <m/>
    <m/>
    <x v="0"/>
    <x v="4"/>
    <x v="0"/>
    <n v="0"/>
    <x v="0"/>
  </r>
  <r>
    <s v="UNLV"/>
    <x v="4"/>
    <x v="13"/>
    <n v="19"/>
    <n v="202"/>
    <n v="10.63"/>
    <m/>
    <m/>
    <x v="0"/>
    <x v="4"/>
    <x v="0"/>
    <n v="0"/>
    <x v="0"/>
  </r>
  <r>
    <s v="USF"/>
    <x v="6"/>
    <x v="13"/>
    <n v="11"/>
    <n v="125"/>
    <n v="11.36"/>
    <m/>
    <m/>
    <x v="0"/>
    <x v="4"/>
    <x v="0"/>
    <n v="0"/>
    <x v="0"/>
  </r>
  <r>
    <s v="UTEP"/>
    <x v="7"/>
    <x v="13"/>
    <n v="14"/>
    <n v="188"/>
    <n v="13.43"/>
    <m/>
    <m/>
    <x v="0"/>
    <x v="4"/>
    <x v="0"/>
    <n v="0"/>
    <x v="0"/>
  </r>
  <r>
    <s v="UTSA"/>
    <x v="6"/>
    <x v="13"/>
    <n v="11"/>
    <n v="110"/>
    <n v="10"/>
    <m/>
    <m/>
    <x v="0"/>
    <x v="4"/>
    <x v="0"/>
    <n v="0"/>
    <x v="0"/>
  </r>
  <r>
    <s v="Utah State"/>
    <x v="4"/>
    <x v="13"/>
    <n v="26"/>
    <n v="181"/>
    <n v="6.96"/>
    <m/>
    <m/>
    <x v="0"/>
    <x v="4"/>
    <x v="0"/>
    <n v="0"/>
    <x v="0"/>
  </r>
  <r>
    <s v="Virginia Tech"/>
    <x v="5"/>
    <x v="13"/>
    <n v="11"/>
    <n v="85"/>
    <n v="7.73"/>
    <m/>
    <m/>
    <x v="0"/>
    <x v="4"/>
    <x v="0"/>
    <n v="0"/>
    <x v="0"/>
  </r>
  <r>
    <s v="W Michigan"/>
    <x v="3"/>
    <x v="13"/>
    <n v="9"/>
    <n v="47"/>
    <n v="5.22"/>
    <m/>
    <m/>
    <x v="0"/>
    <x v="4"/>
    <x v="0"/>
    <n v="0"/>
    <x v="0"/>
  </r>
  <r>
    <s v="WKU"/>
    <x v="7"/>
    <x v="13"/>
    <n v="13"/>
    <n v="104"/>
    <n v="8"/>
    <m/>
    <m/>
    <x v="0"/>
    <x v="4"/>
    <x v="0"/>
    <n v="0"/>
    <x v="0"/>
  </r>
  <r>
    <s v="Wake Forest"/>
    <x v="5"/>
    <x v="13"/>
    <n v="16"/>
    <n v="206"/>
    <n v="12.88"/>
    <m/>
    <m/>
    <x v="0"/>
    <x v="4"/>
    <x v="0"/>
    <n v="0"/>
    <x v="0"/>
  </r>
  <r>
    <s v="Washington"/>
    <x v="8"/>
    <x v="13"/>
    <n v="8"/>
    <n v="54"/>
    <n v="6.75"/>
    <m/>
    <m/>
    <x v="0"/>
    <x v="4"/>
    <x v="0"/>
    <n v="0"/>
    <x v="0"/>
  </r>
  <r>
    <s v="Washington State"/>
    <x v="9"/>
    <x v="13"/>
    <n v="16"/>
    <n v="136"/>
    <n v="8.5"/>
    <m/>
    <m/>
    <x v="0"/>
    <x v="4"/>
    <x v="0"/>
    <n v="0"/>
    <x v="0"/>
  </r>
  <r>
    <s v="West Virginia"/>
    <x v="1"/>
    <x v="13"/>
    <n v="12"/>
    <n v="114"/>
    <n v="9.5"/>
    <m/>
    <m/>
    <x v="0"/>
    <x v="4"/>
    <x v="0"/>
    <n v="0"/>
    <x v="0"/>
  </r>
  <r>
    <s v="Wisconsin"/>
    <x v="8"/>
    <x v="13"/>
    <n v="5"/>
    <n v="20"/>
    <n v="4"/>
    <m/>
    <m/>
    <x v="0"/>
    <x v="4"/>
    <x v="0"/>
    <n v="0"/>
    <x v="0"/>
  </r>
  <r>
    <s v="Wyoming"/>
    <x v="4"/>
    <x v="13"/>
    <n v="17"/>
    <n v="151"/>
    <n v="8.8800000000000008"/>
    <m/>
    <m/>
    <x v="0"/>
    <x v="4"/>
    <x v="0"/>
    <n v="0"/>
    <x v="0"/>
  </r>
  <r>
    <s v="Air Force"/>
    <x v="4"/>
    <x v="5"/>
    <n v="6"/>
    <n v="32"/>
    <n v="5.33"/>
    <m/>
    <m/>
    <x v="0"/>
    <x v="1"/>
    <x v="0"/>
    <n v="0"/>
    <x v="0"/>
  </r>
  <r>
    <s v="Akron"/>
    <x v="3"/>
    <x v="5"/>
    <n v="8"/>
    <n v="12"/>
    <n v="1.5"/>
    <m/>
    <m/>
    <x v="0"/>
    <x v="1"/>
    <x v="0"/>
    <n v="0"/>
    <x v="0"/>
  </r>
  <r>
    <s v="Arizona"/>
    <x v="1"/>
    <x v="5"/>
    <n v="7"/>
    <n v="62"/>
    <n v="8.86"/>
    <m/>
    <m/>
    <x v="0"/>
    <x v="1"/>
    <x v="0"/>
    <n v="0"/>
    <x v="0"/>
  </r>
  <r>
    <s v="Arizona State"/>
    <x v="1"/>
    <x v="5"/>
    <n v="10"/>
    <n v="164"/>
    <n v="16.399999999999999"/>
    <m/>
    <m/>
    <x v="0"/>
    <x v="1"/>
    <x v="0"/>
    <n v="0"/>
    <x v="0"/>
  </r>
  <r>
    <s v="Arkansas"/>
    <x v="2"/>
    <x v="5"/>
    <n v="7"/>
    <n v="52"/>
    <n v="7.43"/>
    <m/>
    <m/>
    <x v="0"/>
    <x v="1"/>
    <x v="0"/>
    <n v="0"/>
    <x v="0"/>
  </r>
  <r>
    <s v="Arkansas State"/>
    <x v="0"/>
    <x v="5"/>
    <n v="8"/>
    <n v="30"/>
    <n v="3.75"/>
    <m/>
    <m/>
    <x v="0"/>
    <x v="1"/>
    <x v="0"/>
    <n v="0"/>
    <x v="0"/>
  </r>
  <r>
    <s v="Army"/>
    <x v="6"/>
    <x v="5"/>
    <n v="9"/>
    <n v="179"/>
    <n v="19.89"/>
    <m/>
    <m/>
    <x v="0"/>
    <x v="1"/>
    <x v="0"/>
    <n v="0"/>
    <x v="0"/>
  </r>
  <r>
    <s v="Auburn"/>
    <x v="2"/>
    <x v="5"/>
    <n v="7"/>
    <n v="8"/>
    <n v="1.1399999999999999"/>
    <m/>
    <m/>
    <x v="0"/>
    <x v="1"/>
    <x v="0"/>
    <n v="0"/>
    <x v="0"/>
  </r>
  <r>
    <s v="Baylor"/>
    <x v="1"/>
    <x v="5"/>
    <n v="6"/>
    <n v="24"/>
    <n v="4"/>
    <m/>
    <m/>
    <x v="0"/>
    <x v="1"/>
    <x v="0"/>
    <n v="0"/>
    <x v="0"/>
  </r>
  <r>
    <s v="Boise State"/>
    <x v="4"/>
    <x v="5"/>
    <n v="12"/>
    <n v="87"/>
    <n v="7.25"/>
    <m/>
    <m/>
    <x v="0"/>
    <x v="1"/>
    <x v="0"/>
    <n v="0"/>
    <x v="0"/>
  </r>
  <r>
    <s v="Boston College"/>
    <x v="5"/>
    <x v="5"/>
    <n v="11"/>
    <n v="162"/>
    <n v="14.73"/>
    <m/>
    <m/>
    <x v="0"/>
    <x v="1"/>
    <x v="0"/>
    <n v="0"/>
    <x v="0"/>
  </r>
  <r>
    <s v="Bowling Green"/>
    <x v="3"/>
    <x v="5"/>
    <n v="12"/>
    <n v="83"/>
    <n v="6.92"/>
    <m/>
    <m/>
    <x v="0"/>
    <x v="1"/>
    <x v="0"/>
    <n v="0"/>
    <x v="0"/>
  </r>
  <r>
    <s v="Buffalo"/>
    <x v="3"/>
    <x v="5"/>
    <n v="4"/>
    <n v="8"/>
    <n v="2"/>
    <m/>
    <m/>
    <x v="0"/>
    <x v="1"/>
    <x v="0"/>
    <n v="0"/>
    <x v="0"/>
  </r>
  <r>
    <s v="C Michigan"/>
    <x v="3"/>
    <x v="5"/>
    <n v="14"/>
    <n v="82"/>
    <n v="5.86"/>
    <m/>
    <m/>
    <x v="0"/>
    <x v="1"/>
    <x v="0"/>
    <n v="0"/>
    <x v="0"/>
  </r>
  <r>
    <s v="California"/>
    <x v="5"/>
    <x v="5"/>
    <n v="17"/>
    <n v="119"/>
    <n v="7"/>
    <m/>
    <m/>
    <x v="0"/>
    <x v="1"/>
    <x v="0"/>
    <n v="0"/>
    <x v="0"/>
  </r>
  <r>
    <s v="Charlotte"/>
    <x v="6"/>
    <x v="5"/>
    <n v="4"/>
    <n v="29"/>
    <n v="7.25"/>
    <m/>
    <m/>
    <x v="0"/>
    <x v="1"/>
    <x v="0"/>
    <n v="0"/>
    <x v="0"/>
  </r>
  <r>
    <s v="Clemson"/>
    <x v="5"/>
    <x v="5"/>
    <n v="8"/>
    <n v="86"/>
    <n v="10.75"/>
    <m/>
    <m/>
    <x v="0"/>
    <x v="1"/>
    <x v="0"/>
    <n v="0"/>
    <x v="0"/>
  </r>
  <r>
    <s v="Coastal Carolina"/>
    <x v="0"/>
    <x v="5"/>
    <n v="8"/>
    <n v="178"/>
    <n v="22.25"/>
    <m/>
    <m/>
    <x v="0"/>
    <x v="1"/>
    <x v="0"/>
    <n v="0"/>
    <x v="0"/>
  </r>
  <r>
    <s v="Colorado"/>
    <x v="1"/>
    <x v="5"/>
    <n v="9"/>
    <n v="159"/>
    <n v="17.670000000000002"/>
    <m/>
    <m/>
    <x v="0"/>
    <x v="1"/>
    <x v="0"/>
    <n v="0"/>
    <x v="0"/>
  </r>
  <r>
    <s v="Colorado State"/>
    <x v="4"/>
    <x v="5"/>
    <n v="6"/>
    <n v="38"/>
    <n v="6.33"/>
    <m/>
    <m/>
    <x v="0"/>
    <x v="1"/>
    <x v="0"/>
    <n v="0"/>
    <x v="0"/>
  </r>
  <r>
    <s v="Delaware"/>
    <x v="7"/>
    <x v="5"/>
    <n v="17"/>
    <n v="151"/>
    <n v="8.8800000000000008"/>
    <m/>
    <m/>
    <x v="0"/>
    <x v="1"/>
    <x v="0"/>
    <n v="0"/>
    <x v="0"/>
  </r>
  <r>
    <s v="Duke"/>
    <x v="5"/>
    <x v="5"/>
    <n v="6"/>
    <n v="47"/>
    <n v="7.83"/>
    <m/>
    <m/>
    <x v="0"/>
    <x v="1"/>
    <x v="0"/>
    <n v="0"/>
    <x v="0"/>
  </r>
  <r>
    <s v="E Michigan"/>
    <x v="3"/>
    <x v="5"/>
    <n v="6"/>
    <n v="44"/>
    <n v="7.33"/>
    <m/>
    <m/>
    <x v="0"/>
    <x v="1"/>
    <x v="0"/>
    <n v="0"/>
    <x v="0"/>
  </r>
  <r>
    <s v="East Carolina"/>
    <x v="6"/>
    <x v="5"/>
    <n v="8"/>
    <n v="138"/>
    <n v="17.25"/>
    <m/>
    <m/>
    <x v="0"/>
    <x v="1"/>
    <x v="0"/>
    <n v="0"/>
    <x v="0"/>
  </r>
  <r>
    <s v="FAU"/>
    <x v="6"/>
    <x v="5"/>
    <n v="6"/>
    <n v="60"/>
    <n v="10"/>
    <m/>
    <m/>
    <x v="0"/>
    <x v="1"/>
    <x v="0"/>
    <n v="0"/>
    <x v="0"/>
  </r>
  <r>
    <s v="FIU"/>
    <x v="7"/>
    <x v="5"/>
    <n v="10"/>
    <n v="173"/>
    <n v="17.3"/>
    <m/>
    <m/>
    <x v="0"/>
    <x v="1"/>
    <x v="0"/>
    <n v="0"/>
    <x v="0"/>
  </r>
  <r>
    <s v="Florida"/>
    <x v="2"/>
    <x v="5"/>
    <n v="3"/>
    <n v="51"/>
    <n v="17"/>
    <m/>
    <m/>
    <x v="0"/>
    <x v="1"/>
    <x v="0"/>
    <n v="0"/>
    <x v="0"/>
  </r>
  <r>
    <s v="Florida State"/>
    <x v="5"/>
    <x v="5"/>
    <n v="10"/>
    <n v="77"/>
    <n v="7.7"/>
    <m/>
    <m/>
    <x v="0"/>
    <x v="1"/>
    <x v="0"/>
    <n v="0"/>
    <x v="0"/>
  </r>
  <r>
    <s v="Fresno State"/>
    <x v="4"/>
    <x v="5"/>
    <n v="7"/>
    <n v="38"/>
    <n v="5.43"/>
    <m/>
    <m/>
    <x v="0"/>
    <x v="1"/>
    <x v="0"/>
    <n v="0"/>
    <x v="0"/>
  </r>
  <r>
    <s v="Georgia Southern"/>
    <x v="0"/>
    <x v="5"/>
    <n v="18"/>
    <n v="151"/>
    <n v="8.39"/>
    <m/>
    <m/>
    <x v="0"/>
    <x v="1"/>
    <x v="0"/>
    <n v="0"/>
    <x v="0"/>
  </r>
  <r>
    <s v="Georgia State"/>
    <x v="0"/>
    <x v="5"/>
    <n v="16"/>
    <n v="64"/>
    <n v="4"/>
    <m/>
    <m/>
    <x v="0"/>
    <x v="1"/>
    <x v="0"/>
    <n v="0"/>
    <x v="0"/>
  </r>
  <r>
    <s v="Hawai'i"/>
    <x v="4"/>
    <x v="5"/>
    <n v="11"/>
    <n v="52"/>
    <n v="4.7300000000000004"/>
    <m/>
    <m/>
    <x v="0"/>
    <x v="1"/>
    <x v="0"/>
    <n v="0"/>
    <x v="0"/>
  </r>
  <r>
    <s v="Houston"/>
    <x v="1"/>
    <x v="5"/>
    <n v="11"/>
    <n v="76"/>
    <n v="6.91"/>
    <m/>
    <m/>
    <x v="0"/>
    <x v="1"/>
    <x v="0"/>
    <n v="0"/>
    <x v="0"/>
  </r>
  <r>
    <s v="Illinois"/>
    <x v="8"/>
    <x v="5"/>
    <n v="4"/>
    <n v="16"/>
    <n v="4"/>
    <m/>
    <m/>
    <x v="0"/>
    <x v="1"/>
    <x v="0"/>
    <n v="0"/>
    <x v="0"/>
  </r>
  <r>
    <s v="Iowa State"/>
    <x v="1"/>
    <x v="5"/>
    <n v="5"/>
    <n v="43"/>
    <n v="8.6"/>
    <m/>
    <m/>
    <x v="0"/>
    <x v="1"/>
    <x v="0"/>
    <n v="0"/>
    <x v="0"/>
  </r>
  <r>
    <s v="J Madison"/>
    <x v="0"/>
    <x v="5"/>
    <n v="7"/>
    <n v="41"/>
    <n v="5.86"/>
    <m/>
    <m/>
    <x v="0"/>
    <x v="1"/>
    <x v="0"/>
    <n v="0"/>
    <x v="0"/>
  </r>
  <r>
    <s v="Jacksonville State"/>
    <x v="7"/>
    <x v="5"/>
    <n v="8"/>
    <n v="44"/>
    <n v="5.5"/>
    <m/>
    <m/>
    <x v="0"/>
    <x v="1"/>
    <x v="0"/>
    <n v="0"/>
    <x v="0"/>
  </r>
  <r>
    <s v="Kansas"/>
    <x v="1"/>
    <x v="5"/>
    <n v="11"/>
    <n v="133"/>
    <n v="12.09"/>
    <m/>
    <m/>
    <x v="0"/>
    <x v="1"/>
    <x v="0"/>
    <n v="0"/>
    <x v="0"/>
  </r>
  <r>
    <s v="Kansas State"/>
    <x v="1"/>
    <x v="5"/>
    <n v="3"/>
    <n v="17"/>
    <n v="5.67"/>
    <m/>
    <m/>
    <x v="0"/>
    <x v="1"/>
    <x v="0"/>
    <n v="0"/>
    <x v="0"/>
  </r>
  <r>
    <s v="Kennesaw State"/>
    <x v="7"/>
    <x v="5"/>
    <n v="7"/>
    <n v="92"/>
    <n v="13.14"/>
    <m/>
    <m/>
    <x v="0"/>
    <x v="1"/>
    <x v="0"/>
    <n v="0"/>
    <x v="0"/>
  </r>
  <r>
    <s v="Kent State"/>
    <x v="3"/>
    <x v="5"/>
    <n v="14"/>
    <n v="199"/>
    <n v="14.21"/>
    <m/>
    <m/>
    <x v="0"/>
    <x v="1"/>
    <x v="0"/>
    <n v="0"/>
    <x v="0"/>
  </r>
  <r>
    <s v="Kentucky"/>
    <x v="2"/>
    <x v="5"/>
    <n v="9"/>
    <n v="60"/>
    <n v="6.67"/>
    <m/>
    <m/>
    <x v="0"/>
    <x v="1"/>
    <x v="0"/>
    <n v="0"/>
    <x v="0"/>
  </r>
  <r>
    <s v="LSU"/>
    <x v="2"/>
    <x v="5"/>
    <n v="6"/>
    <n v="61"/>
    <n v="10.17"/>
    <m/>
    <m/>
    <x v="0"/>
    <x v="1"/>
    <x v="0"/>
    <n v="0"/>
    <x v="0"/>
  </r>
  <r>
    <s v="La Tech"/>
    <x v="7"/>
    <x v="5"/>
    <n v="14"/>
    <n v="238"/>
    <n v="17"/>
    <m/>
    <m/>
    <x v="0"/>
    <x v="1"/>
    <x v="0"/>
    <n v="0"/>
    <x v="0"/>
  </r>
  <r>
    <s v="Liberty"/>
    <x v="7"/>
    <x v="5"/>
    <n v="6"/>
    <n v="76"/>
    <n v="12.67"/>
    <m/>
    <m/>
    <x v="0"/>
    <x v="1"/>
    <x v="0"/>
    <n v="0"/>
    <x v="0"/>
  </r>
  <r>
    <s v="Louisiana"/>
    <x v="0"/>
    <x v="5"/>
    <n v="12"/>
    <n v="58"/>
    <n v="4.83"/>
    <m/>
    <m/>
    <x v="0"/>
    <x v="1"/>
    <x v="0"/>
    <n v="0"/>
    <x v="0"/>
  </r>
  <r>
    <s v="MTSU"/>
    <x v="7"/>
    <x v="5"/>
    <n v="12"/>
    <n v="83"/>
    <n v="6.92"/>
    <m/>
    <m/>
    <x v="0"/>
    <x v="1"/>
    <x v="0"/>
    <n v="0"/>
    <x v="0"/>
  </r>
  <r>
    <s v="Marshall"/>
    <x v="0"/>
    <x v="5"/>
    <n v="8"/>
    <n v="65"/>
    <n v="8.1199999999999992"/>
    <m/>
    <m/>
    <x v="0"/>
    <x v="1"/>
    <x v="0"/>
    <n v="0"/>
    <x v="0"/>
  </r>
  <r>
    <s v="Maryland"/>
    <x v="8"/>
    <x v="5"/>
    <n v="3"/>
    <n v="14"/>
    <n v="4.67"/>
    <m/>
    <m/>
    <x v="0"/>
    <x v="1"/>
    <x v="0"/>
    <n v="0"/>
    <x v="0"/>
  </r>
  <r>
    <s v="Memphis"/>
    <x v="6"/>
    <x v="5"/>
    <n v="3"/>
    <n v="19"/>
    <n v="6.33"/>
    <m/>
    <m/>
    <x v="0"/>
    <x v="1"/>
    <x v="0"/>
    <n v="0"/>
    <x v="0"/>
  </r>
  <r>
    <s v="Miami (OH)"/>
    <x v="3"/>
    <x v="5"/>
    <n v="6"/>
    <n v="100"/>
    <n v="16.670000000000002"/>
    <m/>
    <m/>
    <x v="0"/>
    <x v="1"/>
    <x v="0"/>
    <n v="0"/>
    <x v="0"/>
  </r>
  <r>
    <s v="Michigan State"/>
    <x v="8"/>
    <x v="5"/>
    <n v="12"/>
    <n v="97"/>
    <n v="8.08"/>
    <m/>
    <m/>
    <x v="0"/>
    <x v="1"/>
    <x v="0"/>
    <n v="0"/>
    <x v="0"/>
  </r>
  <r>
    <s v="Mississippi State"/>
    <x v="2"/>
    <x v="5"/>
    <n v="8"/>
    <n v="96"/>
    <n v="12"/>
    <m/>
    <m/>
    <x v="0"/>
    <x v="1"/>
    <x v="0"/>
    <n v="0"/>
    <x v="0"/>
  </r>
  <r>
    <s v="Missouri State"/>
    <x v="7"/>
    <x v="5"/>
    <n v="11"/>
    <n v="57"/>
    <n v="5.18"/>
    <m/>
    <m/>
    <x v="0"/>
    <x v="1"/>
    <x v="0"/>
    <n v="0"/>
    <x v="0"/>
  </r>
  <r>
    <s v="N Illinois"/>
    <x v="3"/>
    <x v="5"/>
    <n v="7"/>
    <n v="22"/>
    <n v="3.14"/>
    <m/>
    <m/>
    <x v="0"/>
    <x v="1"/>
    <x v="0"/>
    <n v="0"/>
    <x v="0"/>
  </r>
  <r>
    <s v="N Texas"/>
    <x v="6"/>
    <x v="5"/>
    <n v="7"/>
    <n v="23"/>
    <n v="3.29"/>
    <m/>
    <m/>
    <x v="0"/>
    <x v="1"/>
    <x v="0"/>
    <n v="0"/>
    <x v="0"/>
  </r>
  <r>
    <s v="Navy"/>
    <x v="6"/>
    <x v="5"/>
    <n v="7"/>
    <n v="51"/>
    <n v="7.29"/>
    <m/>
    <m/>
    <x v="0"/>
    <x v="1"/>
    <x v="0"/>
    <n v="0"/>
    <x v="0"/>
  </r>
  <r>
    <s v="Nebraska"/>
    <x v="8"/>
    <x v="5"/>
    <n v="5"/>
    <n v="3"/>
    <n v="0.6"/>
    <m/>
    <m/>
    <x v="0"/>
    <x v="1"/>
    <x v="0"/>
    <n v="0"/>
    <x v="0"/>
  </r>
  <r>
    <s v="New Mexico"/>
    <x v="4"/>
    <x v="5"/>
    <n v="12"/>
    <n v="57"/>
    <n v="4.75"/>
    <m/>
    <m/>
    <x v="0"/>
    <x v="1"/>
    <x v="0"/>
    <n v="0"/>
    <x v="0"/>
  </r>
  <r>
    <s v="New Mexico State"/>
    <x v="7"/>
    <x v="5"/>
    <n v="15"/>
    <n v="288"/>
    <n v="19.2"/>
    <m/>
    <m/>
    <x v="0"/>
    <x v="1"/>
    <x v="0"/>
    <n v="0"/>
    <x v="0"/>
  </r>
  <r>
    <s v="North Carolina"/>
    <x v="5"/>
    <x v="5"/>
    <n v="6"/>
    <n v="50"/>
    <n v="8.33"/>
    <m/>
    <m/>
    <x v="0"/>
    <x v="1"/>
    <x v="0"/>
    <n v="0"/>
    <x v="0"/>
  </r>
  <r>
    <s v="Northwestern"/>
    <x v="8"/>
    <x v="5"/>
    <n v="9"/>
    <n v="25"/>
    <n v="2.78"/>
    <m/>
    <m/>
    <x v="0"/>
    <x v="1"/>
    <x v="0"/>
    <n v="0"/>
    <x v="0"/>
  </r>
  <r>
    <s v="ODU"/>
    <x v="0"/>
    <x v="5"/>
    <n v="15"/>
    <n v="168"/>
    <n v="11.2"/>
    <m/>
    <m/>
    <x v="0"/>
    <x v="1"/>
    <x v="0"/>
    <n v="0"/>
    <x v="0"/>
  </r>
  <r>
    <s v="Ohio"/>
    <x v="3"/>
    <x v="5"/>
    <n v="9"/>
    <n v="71"/>
    <n v="7.89"/>
    <m/>
    <m/>
    <x v="0"/>
    <x v="1"/>
    <x v="0"/>
    <n v="0"/>
    <x v="0"/>
  </r>
  <r>
    <s v="Oklahoma State"/>
    <x v="1"/>
    <x v="5"/>
    <n v="10"/>
    <n v="39"/>
    <n v="3.9"/>
    <m/>
    <m/>
    <x v="0"/>
    <x v="1"/>
    <x v="0"/>
    <n v="0"/>
    <x v="0"/>
  </r>
  <r>
    <s v="Oregon State"/>
    <x v="9"/>
    <x v="5"/>
    <n v="11"/>
    <n v="19"/>
    <n v="1.73"/>
    <m/>
    <m/>
    <x v="0"/>
    <x v="1"/>
    <x v="0"/>
    <n v="0"/>
    <x v="0"/>
  </r>
  <r>
    <s v="Penn State"/>
    <x v="8"/>
    <x v="5"/>
    <n v="2"/>
    <n v="9"/>
    <n v="4.5"/>
    <m/>
    <m/>
    <x v="0"/>
    <x v="1"/>
    <x v="0"/>
    <n v="0"/>
    <x v="0"/>
  </r>
  <r>
    <s v="Purdue"/>
    <x v="8"/>
    <x v="5"/>
    <n v="8"/>
    <n v="70"/>
    <n v="8.75"/>
    <m/>
    <m/>
    <x v="0"/>
    <x v="1"/>
    <x v="0"/>
    <n v="0"/>
    <x v="0"/>
  </r>
  <r>
    <s v="Rice"/>
    <x v="6"/>
    <x v="5"/>
    <n v="8"/>
    <n v="131"/>
    <n v="16.38"/>
    <m/>
    <m/>
    <x v="0"/>
    <x v="1"/>
    <x v="0"/>
    <n v="0"/>
    <x v="0"/>
  </r>
  <r>
    <s v="Rutgers"/>
    <x v="8"/>
    <x v="5"/>
    <n v="7"/>
    <n v="118"/>
    <n v="16.86"/>
    <m/>
    <m/>
    <x v="0"/>
    <x v="1"/>
    <x v="0"/>
    <n v="0"/>
    <x v="0"/>
  </r>
  <r>
    <s v="S Alabama"/>
    <x v="0"/>
    <x v="5"/>
    <n v="11"/>
    <n v="72"/>
    <n v="6.55"/>
    <m/>
    <m/>
    <x v="0"/>
    <x v="1"/>
    <x v="0"/>
    <n v="0"/>
    <x v="0"/>
  </r>
  <r>
    <s v="SMU"/>
    <x v="5"/>
    <x v="5"/>
    <n v="14"/>
    <n v="59"/>
    <n v="4.21"/>
    <m/>
    <m/>
    <x v="0"/>
    <x v="1"/>
    <x v="0"/>
    <n v="0"/>
    <x v="0"/>
  </r>
  <r>
    <s v="Sam Houston"/>
    <x v="7"/>
    <x v="5"/>
    <n v="11"/>
    <n v="94"/>
    <n v="8.5500000000000007"/>
    <m/>
    <m/>
    <x v="0"/>
    <x v="1"/>
    <x v="0"/>
    <n v="0"/>
    <x v="0"/>
  </r>
  <r>
    <s v="San Diego State"/>
    <x v="4"/>
    <x v="5"/>
    <n v="6"/>
    <n v="46"/>
    <n v="7.67"/>
    <m/>
    <m/>
    <x v="0"/>
    <x v="1"/>
    <x v="0"/>
    <n v="0"/>
    <x v="0"/>
  </r>
  <r>
    <s v="San Jose St"/>
    <x v="4"/>
    <x v="5"/>
    <n v="12"/>
    <n v="95"/>
    <n v="7.92"/>
    <m/>
    <m/>
    <x v="0"/>
    <x v="1"/>
    <x v="0"/>
    <n v="0"/>
    <x v="0"/>
  </r>
  <r>
    <s v="South Carolina"/>
    <x v="2"/>
    <x v="5"/>
    <n v="15"/>
    <n v="135"/>
    <n v="9"/>
    <m/>
    <m/>
    <x v="0"/>
    <x v="1"/>
    <x v="0"/>
    <n v="0"/>
    <x v="0"/>
  </r>
  <r>
    <s v="Southern Miss"/>
    <x v="0"/>
    <x v="5"/>
    <n v="16"/>
    <n v="149"/>
    <n v="9.31"/>
    <m/>
    <m/>
    <x v="0"/>
    <x v="1"/>
    <x v="0"/>
    <n v="0"/>
    <x v="0"/>
  </r>
  <r>
    <s v="Stanford"/>
    <x v="5"/>
    <x v="5"/>
    <n v="12"/>
    <n v="141"/>
    <n v="11.75"/>
    <m/>
    <m/>
    <x v="0"/>
    <x v="1"/>
    <x v="0"/>
    <n v="0"/>
    <x v="0"/>
  </r>
  <r>
    <s v="Syracuse"/>
    <x v="5"/>
    <x v="5"/>
    <n v="6"/>
    <n v="15"/>
    <n v="2.5"/>
    <m/>
    <m/>
    <x v="0"/>
    <x v="1"/>
    <x v="0"/>
    <n v="0"/>
    <x v="0"/>
  </r>
  <r>
    <s v="TCU"/>
    <x v="1"/>
    <x v="5"/>
    <n v="8"/>
    <n v="78"/>
    <n v="9.75"/>
    <m/>
    <m/>
    <x v="0"/>
    <x v="1"/>
    <x v="0"/>
    <n v="0"/>
    <x v="0"/>
  </r>
  <r>
    <s v="Temple"/>
    <x v="6"/>
    <x v="5"/>
    <n v="7"/>
    <n v="50"/>
    <n v="7.14"/>
    <m/>
    <m/>
    <x v="0"/>
    <x v="1"/>
    <x v="0"/>
    <n v="0"/>
    <x v="0"/>
  </r>
  <r>
    <s v="Texas State"/>
    <x v="0"/>
    <x v="5"/>
    <n v="11"/>
    <n v="208"/>
    <n v="18.91"/>
    <m/>
    <m/>
    <x v="0"/>
    <x v="1"/>
    <x v="0"/>
    <n v="0"/>
    <x v="0"/>
  </r>
  <r>
    <s v="Toledo"/>
    <x v="3"/>
    <x v="5"/>
    <n v="3"/>
    <n v="7"/>
    <n v="2.33"/>
    <m/>
    <m/>
    <x v="0"/>
    <x v="1"/>
    <x v="0"/>
    <n v="0"/>
    <x v="0"/>
  </r>
  <r>
    <s v="Troy"/>
    <x v="0"/>
    <x v="5"/>
    <n v="6"/>
    <n v="34"/>
    <n v="5.67"/>
    <m/>
    <m/>
    <x v="0"/>
    <x v="1"/>
    <x v="0"/>
    <n v="0"/>
    <x v="0"/>
  </r>
  <r>
    <s v="Tulane"/>
    <x v="6"/>
    <x v="5"/>
    <n v="6"/>
    <n v="28"/>
    <n v="4.67"/>
    <m/>
    <m/>
    <x v="0"/>
    <x v="1"/>
    <x v="0"/>
    <n v="0"/>
    <x v="0"/>
  </r>
  <r>
    <s v="Tulsa"/>
    <x v="6"/>
    <x v="5"/>
    <n v="9"/>
    <n v="39"/>
    <n v="4.33"/>
    <m/>
    <m/>
    <x v="0"/>
    <x v="1"/>
    <x v="0"/>
    <n v="0"/>
    <x v="0"/>
  </r>
  <r>
    <s v="UAB"/>
    <x v="6"/>
    <x v="5"/>
    <n v="10"/>
    <n v="45"/>
    <n v="4.5"/>
    <m/>
    <m/>
    <x v="0"/>
    <x v="1"/>
    <x v="0"/>
    <n v="0"/>
    <x v="0"/>
  </r>
  <r>
    <s v="UCF"/>
    <x v="1"/>
    <x v="5"/>
    <n v="15"/>
    <n v="121"/>
    <n v="8.07"/>
    <m/>
    <m/>
    <x v="0"/>
    <x v="1"/>
    <x v="0"/>
    <n v="0"/>
    <x v="0"/>
  </r>
  <r>
    <s v="UCLA"/>
    <x v="8"/>
    <x v="5"/>
    <n v="8"/>
    <n v="64"/>
    <n v="8"/>
    <m/>
    <m/>
    <x v="0"/>
    <x v="1"/>
    <x v="0"/>
    <n v="0"/>
    <x v="0"/>
  </r>
  <r>
    <s v="UConn"/>
    <x v="10"/>
    <x v="5"/>
    <n v="7"/>
    <n v="30"/>
    <n v="4.29"/>
    <m/>
    <m/>
    <x v="0"/>
    <x v="1"/>
    <x v="0"/>
    <n v="0"/>
    <x v="0"/>
  </r>
  <r>
    <s v="UL Monroe"/>
    <x v="0"/>
    <x v="5"/>
    <n v="11"/>
    <n v="104"/>
    <n v="9.4499999999999993"/>
    <m/>
    <m/>
    <x v="0"/>
    <x v="1"/>
    <x v="0"/>
    <n v="0"/>
    <x v="0"/>
  </r>
  <r>
    <s v="UMass"/>
    <x v="3"/>
    <x v="5"/>
    <n v="17"/>
    <n v="72"/>
    <n v="4.24"/>
    <m/>
    <m/>
    <x v="0"/>
    <x v="1"/>
    <x v="0"/>
    <n v="0"/>
    <x v="0"/>
  </r>
  <r>
    <s v="UNLV"/>
    <x v="4"/>
    <x v="5"/>
    <n v="6"/>
    <n v="77"/>
    <n v="12.83"/>
    <m/>
    <m/>
    <x v="0"/>
    <x v="1"/>
    <x v="0"/>
    <n v="0"/>
    <x v="0"/>
  </r>
  <r>
    <s v="USF"/>
    <x v="6"/>
    <x v="5"/>
    <n v="10"/>
    <n v="61"/>
    <n v="6.1"/>
    <m/>
    <m/>
    <x v="0"/>
    <x v="1"/>
    <x v="0"/>
    <n v="0"/>
    <x v="0"/>
  </r>
  <r>
    <s v="UTEP"/>
    <x v="7"/>
    <x v="5"/>
    <n v="9"/>
    <n v="70"/>
    <n v="7.78"/>
    <m/>
    <m/>
    <x v="0"/>
    <x v="1"/>
    <x v="0"/>
    <n v="0"/>
    <x v="0"/>
  </r>
  <r>
    <s v="UTSA"/>
    <x v="6"/>
    <x v="5"/>
    <n v="14"/>
    <n v="82"/>
    <n v="5.86"/>
    <m/>
    <m/>
    <x v="0"/>
    <x v="1"/>
    <x v="0"/>
    <n v="0"/>
    <x v="0"/>
  </r>
  <r>
    <s v="Utah State"/>
    <x v="4"/>
    <x v="5"/>
    <n v="13"/>
    <n v="55"/>
    <n v="4.2300000000000004"/>
    <m/>
    <m/>
    <x v="0"/>
    <x v="1"/>
    <x v="0"/>
    <n v="0"/>
    <x v="0"/>
  </r>
  <r>
    <s v="Virginia Tech"/>
    <x v="5"/>
    <x v="5"/>
    <n v="12"/>
    <n v="51"/>
    <n v="4.25"/>
    <m/>
    <m/>
    <x v="0"/>
    <x v="1"/>
    <x v="0"/>
    <n v="0"/>
    <x v="0"/>
  </r>
  <r>
    <s v="W Michigan"/>
    <x v="3"/>
    <x v="5"/>
    <n v="6"/>
    <n v="56"/>
    <n v="9.33"/>
    <m/>
    <m/>
    <x v="0"/>
    <x v="1"/>
    <x v="0"/>
    <n v="0"/>
    <x v="0"/>
  </r>
  <r>
    <s v="WKU"/>
    <x v="7"/>
    <x v="5"/>
    <n v="4"/>
    <n v="69"/>
    <n v="17.25"/>
    <m/>
    <m/>
    <x v="0"/>
    <x v="1"/>
    <x v="0"/>
    <n v="0"/>
    <x v="0"/>
  </r>
  <r>
    <s v="Wake Forest"/>
    <x v="5"/>
    <x v="5"/>
    <n v="14"/>
    <n v="88"/>
    <n v="6.29"/>
    <m/>
    <m/>
    <x v="0"/>
    <x v="1"/>
    <x v="0"/>
    <n v="0"/>
    <x v="0"/>
  </r>
  <r>
    <s v="Washington"/>
    <x v="8"/>
    <x v="5"/>
    <n v="8"/>
    <n v="135"/>
    <n v="16.88"/>
    <m/>
    <m/>
    <x v="0"/>
    <x v="1"/>
    <x v="0"/>
    <n v="0"/>
    <x v="0"/>
  </r>
  <r>
    <s v="Washington State"/>
    <x v="9"/>
    <x v="5"/>
    <n v="10"/>
    <n v="102"/>
    <n v="10.199999999999999"/>
    <m/>
    <m/>
    <x v="0"/>
    <x v="1"/>
    <x v="0"/>
    <n v="0"/>
    <x v="0"/>
  </r>
  <r>
    <s v="West Virginia"/>
    <x v="1"/>
    <x v="5"/>
    <n v="7"/>
    <n v="33"/>
    <n v="4.71"/>
    <m/>
    <m/>
    <x v="0"/>
    <x v="1"/>
    <x v="0"/>
    <n v="0"/>
    <x v="0"/>
  </r>
  <r>
    <s v="Wisconsin"/>
    <x v="8"/>
    <x v="5"/>
    <n v="8"/>
    <n v="66"/>
    <n v="8.25"/>
    <m/>
    <m/>
    <x v="0"/>
    <x v="1"/>
    <x v="0"/>
    <n v="0"/>
    <x v="0"/>
  </r>
  <r>
    <s v="Wyoming"/>
    <x v="4"/>
    <x v="5"/>
    <n v="7"/>
    <n v="25"/>
    <n v="3.57"/>
    <m/>
    <m/>
    <x v="0"/>
    <x v="1"/>
    <x v="0"/>
    <n v="0"/>
    <x v="0"/>
  </r>
  <r>
    <s v="Air Force"/>
    <x v="4"/>
    <x v="9"/>
    <n v="4"/>
    <n v="21"/>
    <n v="5.25"/>
    <m/>
    <m/>
    <x v="0"/>
    <x v="1"/>
    <x v="0"/>
    <n v="0"/>
    <x v="0"/>
  </r>
  <r>
    <s v="Akron"/>
    <x v="3"/>
    <x v="9"/>
    <n v="6"/>
    <n v="102"/>
    <n v="17"/>
    <m/>
    <m/>
    <x v="0"/>
    <x v="1"/>
    <x v="0"/>
    <n v="0"/>
    <x v="0"/>
  </r>
  <r>
    <s v="App State"/>
    <x v="0"/>
    <x v="9"/>
    <n v="4"/>
    <n v="56"/>
    <n v="14"/>
    <m/>
    <m/>
    <x v="0"/>
    <x v="1"/>
    <x v="0"/>
    <n v="0"/>
    <x v="0"/>
  </r>
  <r>
    <s v="Arizona"/>
    <x v="1"/>
    <x v="9"/>
    <n v="3"/>
    <n v="43"/>
    <n v="14.33"/>
    <m/>
    <m/>
    <x v="0"/>
    <x v="1"/>
    <x v="0"/>
    <n v="0"/>
    <x v="0"/>
  </r>
  <r>
    <s v="Arkansas"/>
    <x v="2"/>
    <x v="9"/>
    <n v="2"/>
    <n v="45"/>
    <n v="22.5"/>
    <m/>
    <m/>
    <x v="0"/>
    <x v="1"/>
    <x v="0"/>
    <n v="0"/>
    <x v="0"/>
  </r>
  <r>
    <s v="Auburn"/>
    <x v="2"/>
    <x v="9"/>
    <n v="1"/>
    <n v="10"/>
    <n v="10"/>
    <m/>
    <m/>
    <x v="0"/>
    <x v="1"/>
    <x v="0"/>
    <n v="0"/>
    <x v="0"/>
  </r>
  <r>
    <s v="Ball State"/>
    <x v="3"/>
    <x v="9"/>
    <n v="2"/>
    <n v="11"/>
    <n v="5.5"/>
    <m/>
    <m/>
    <x v="0"/>
    <x v="1"/>
    <x v="0"/>
    <n v="0"/>
    <x v="0"/>
  </r>
  <r>
    <s v="Boise State"/>
    <x v="4"/>
    <x v="9"/>
    <n v="2"/>
    <n v="25"/>
    <n v="12.5"/>
    <m/>
    <m/>
    <x v="0"/>
    <x v="1"/>
    <x v="0"/>
    <n v="0"/>
    <x v="0"/>
  </r>
  <r>
    <s v="Bowling Green"/>
    <x v="3"/>
    <x v="9"/>
    <n v="1"/>
    <n v="26"/>
    <n v="26"/>
    <m/>
    <m/>
    <x v="0"/>
    <x v="1"/>
    <x v="0"/>
    <n v="0"/>
    <x v="0"/>
  </r>
  <r>
    <s v="C Michigan"/>
    <x v="3"/>
    <x v="9"/>
    <n v="2"/>
    <n v="25"/>
    <n v="12.5"/>
    <m/>
    <m/>
    <x v="0"/>
    <x v="1"/>
    <x v="0"/>
    <n v="0"/>
    <x v="0"/>
  </r>
  <r>
    <s v="California"/>
    <x v="5"/>
    <x v="9"/>
    <n v="3"/>
    <n v="30"/>
    <n v="10"/>
    <m/>
    <m/>
    <x v="0"/>
    <x v="1"/>
    <x v="0"/>
    <n v="0"/>
    <x v="0"/>
  </r>
  <r>
    <s v="Coastal Carolina"/>
    <x v="0"/>
    <x v="9"/>
    <n v="3"/>
    <n v="23"/>
    <n v="7.67"/>
    <m/>
    <m/>
    <x v="0"/>
    <x v="1"/>
    <x v="0"/>
    <n v="0"/>
    <x v="0"/>
  </r>
  <r>
    <s v="Colorado"/>
    <x v="1"/>
    <x v="9"/>
    <n v="5"/>
    <n v="55"/>
    <n v="11"/>
    <m/>
    <m/>
    <x v="0"/>
    <x v="1"/>
    <x v="0"/>
    <n v="0"/>
    <x v="0"/>
  </r>
  <r>
    <s v="Colorado State"/>
    <x v="4"/>
    <x v="9"/>
    <n v="3"/>
    <n v="21"/>
    <n v="7"/>
    <m/>
    <m/>
    <x v="0"/>
    <x v="1"/>
    <x v="0"/>
    <n v="0"/>
    <x v="0"/>
  </r>
  <r>
    <s v="Delaware"/>
    <x v="7"/>
    <x v="9"/>
    <n v="4"/>
    <n v="48"/>
    <n v="12"/>
    <m/>
    <m/>
    <x v="0"/>
    <x v="1"/>
    <x v="0"/>
    <n v="0"/>
    <x v="0"/>
  </r>
  <r>
    <s v="Duke"/>
    <x v="5"/>
    <x v="9"/>
    <n v="3"/>
    <n v="17"/>
    <n v="5.67"/>
    <m/>
    <m/>
    <x v="0"/>
    <x v="1"/>
    <x v="0"/>
    <n v="0"/>
    <x v="0"/>
  </r>
  <r>
    <s v="E Michigan"/>
    <x v="3"/>
    <x v="9"/>
    <n v="1"/>
    <n v="2"/>
    <n v="2"/>
    <m/>
    <m/>
    <x v="0"/>
    <x v="1"/>
    <x v="0"/>
    <n v="0"/>
    <x v="0"/>
  </r>
  <r>
    <s v="FIU"/>
    <x v="7"/>
    <x v="9"/>
    <n v="5"/>
    <n v="121"/>
    <n v="24.2"/>
    <m/>
    <m/>
    <x v="0"/>
    <x v="1"/>
    <x v="0"/>
    <n v="0"/>
    <x v="0"/>
  </r>
  <r>
    <s v="Fresno State"/>
    <x v="4"/>
    <x v="9"/>
    <n v="3"/>
    <n v="39"/>
    <n v="13"/>
    <m/>
    <m/>
    <x v="0"/>
    <x v="1"/>
    <x v="0"/>
    <n v="0"/>
    <x v="0"/>
  </r>
  <r>
    <s v="Georgia Southern"/>
    <x v="0"/>
    <x v="9"/>
    <n v="2"/>
    <n v="22"/>
    <n v="11"/>
    <m/>
    <m/>
    <x v="0"/>
    <x v="1"/>
    <x v="0"/>
    <n v="0"/>
    <x v="0"/>
  </r>
  <r>
    <s v="Georgia State"/>
    <x v="0"/>
    <x v="9"/>
    <n v="3"/>
    <n v="27"/>
    <n v="9"/>
    <m/>
    <m/>
    <x v="0"/>
    <x v="1"/>
    <x v="0"/>
    <n v="0"/>
    <x v="0"/>
  </r>
  <r>
    <s v="Hawai'i"/>
    <x v="4"/>
    <x v="9"/>
    <n v="4"/>
    <n v="49"/>
    <n v="12.25"/>
    <m/>
    <m/>
    <x v="0"/>
    <x v="1"/>
    <x v="0"/>
    <n v="0"/>
    <x v="0"/>
  </r>
  <r>
    <s v="Houston"/>
    <x v="1"/>
    <x v="9"/>
    <n v="7"/>
    <n v="84"/>
    <n v="12"/>
    <m/>
    <m/>
    <x v="0"/>
    <x v="1"/>
    <x v="0"/>
    <n v="0"/>
    <x v="0"/>
  </r>
  <r>
    <s v="Iowa State"/>
    <x v="1"/>
    <x v="9"/>
    <n v="3"/>
    <n v="29"/>
    <n v="9.67"/>
    <m/>
    <m/>
    <x v="0"/>
    <x v="1"/>
    <x v="0"/>
    <n v="0"/>
    <x v="0"/>
  </r>
  <r>
    <s v="Jacksonville State"/>
    <x v="7"/>
    <x v="9"/>
    <n v="4"/>
    <n v="53"/>
    <n v="13.25"/>
    <m/>
    <m/>
    <x v="0"/>
    <x v="1"/>
    <x v="0"/>
    <n v="0"/>
    <x v="0"/>
  </r>
  <r>
    <s v="Kansas"/>
    <x v="1"/>
    <x v="9"/>
    <n v="2"/>
    <n v="18"/>
    <n v="9"/>
    <m/>
    <m/>
    <x v="0"/>
    <x v="1"/>
    <x v="0"/>
    <n v="0"/>
    <x v="0"/>
  </r>
  <r>
    <s v="Kansas State"/>
    <x v="1"/>
    <x v="9"/>
    <n v="5"/>
    <n v="61"/>
    <n v="12.2"/>
    <m/>
    <m/>
    <x v="0"/>
    <x v="1"/>
    <x v="0"/>
    <n v="0"/>
    <x v="0"/>
  </r>
  <r>
    <s v="Kent State"/>
    <x v="3"/>
    <x v="9"/>
    <n v="4"/>
    <n v="34"/>
    <n v="8.5"/>
    <m/>
    <m/>
    <x v="0"/>
    <x v="1"/>
    <x v="0"/>
    <n v="0"/>
    <x v="0"/>
  </r>
  <r>
    <s v="La Tech"/>
    <x v="7"/>
    <x v="9"/>
    <n v="5"/>
    <n v="89"/>
    <n v="17.8"/>
    <m/>
    <m/>
    <x v="0"/>
    <x v="1"/>
    <x v="0"/>
    <n v="0"/>
    <x v="0"/>
  </r>
  <r>
    <s v="Louisiana"/>
    <x v="0"/>
    <x v="9"/>
    <n v="5"/>
    <n v="39"/>
    <n v="7.8"/>
    <m/>
    <m/>
    <x v="0"/>
    <x v="1"/>
    <x v="0"/>
    <n v="0"/>
    <x v="0"/>
  </r>
  <r>
    <s v="MTSU"/>
    <x v="7"/>
    <x v="9"/>
    <n v="6"/>
    <n v="94"/>
    <n v="15.67"/>
    <m/>
    <m/>
    <x v="0"/>
    <x v="1"/>
    <x v="0"/>
    <n v="0"/>
    <x v="0"/>
  </r>
  <r>
    <s v="Marshall"/>
    <x v="0"/>
    <x v="9"/>
    <n v="1"/>
    <n v="7"/>
    <n v="7"/>
    <m/>
    <m/>
    <x v="0"/>
    <x v="1"/>
    <x v="0"/>
    <n v="0"/>
    <x v="0"/>
  </r>
  <r>
    <s v="Maryland"/>
    <x v="8"/>
    <x v="9"/>
    <n v="2"/>
    <n v="27"/>
    <n v="13.5"/>
    <m/>
    <m/>
    <x v="0"/>
    <x v="1"/>
    <x v="0"/>
    <n v="0"/>
    <x v="0"/>
  </r>
  <r>
    <s v="Memphis"/>
    <x v="6"/>
    <x v="9"/>
    <n v="4"/>
    <n v="45"/>
    <n v="11.25"/>
    <m/>
    <m/>
    <x v="0"/>
    <x v="1"/>
    <x v="0"/>
    <n v="0"/>
    <x v="0"/>
  </r>
  <r>
    <s v="Michigan State"/>
    <x v="8"/>
    <x v="9"/>
    <n v="2"/>
    <n v="65"/>
    <n v="32.5"/>
    <m/>
    <m/>
    <x v="0"/>
    <x v="1"/>
    <x v="0"/>
    <n v="0"/>
    <x v="0"/>
  </r>
  <r>
    <s v="Minnesota"/>
    <x v="8"/>
    <x v="9"/>
    <n v="5"/>
    <n v="49"/>
    <n v="9.8000000000000007"/>
    <m/>
    <m/>
    <x v="0"/>
    <x v="1"/>
    <x v="0"/>
    <n v="0"/>
    <x v="0"/>
  </r>
  <r>
    <s v="N Illinois"/>
    <x v="3"/>
    <x v="9"/>
    <n v="2"/>
    <n v="21"/>
    <n v="10.5"/>
    <m/>
    <m/>
    <x v="0"/>
    <x v="1"/>
    <x v="0"/>
    <n v="0"/>
    <x v="0"/>
  </r>
  <r>
    <s v="NC State"/>
    <x v="5"/>
    <x v="9"/>
    <n v="2"/>
    <n v="84"/>
    <n v="42"/>
    <m/>
    <m/>
    <x v="0"/>
    <x v="1"/>
    <x v="0"/>
    <n v="0"/>
    <x v="0"/>
  </r>
  <r>
    <s v="New Mexico"/>
    <x v="4"/>
    <x v="9"/>
    <n v="3"/>
    <n v="25"/>
    <n v="8.33"/>
    <m/>
    <m/>
    <x v="0"/>
    <x v="1"/>
    <x v="0"/>
    <n v="0"/>
    <x v="0"/>
  </r>
  <r>
    <s v="North Carolina"/>
    <x v="5"/>
    <x v="9"/>
    <n v="1"/>
    <n v="7"/>
    <n v="7"/>
    <m/>
    <m/>
    <x v="0"/>
    <x v="1"/>
    <x v="0"/>
    <n v="0"/>
    <x v="0"/>
  </r>
  <r>
    <s v="Northwestern"/>
    <x v="8"/>
    <x v="9"/>
    <n v="4"/>
    <n v="53"/>
    <n v="13.25"/>
    <m/>
    <m/>
    <x v="0"/>
    <x v="1"/>
    <x v="0"/>
    <n v="0"/>
    <x v="0"/>
  </r>
  <r>
    <s v="ODU"/>
    <x v="0"/>
    <x v="9"/>
    <n v="3"/>
    <n v="36"/>
    <n v="12"/>
    <m/>
    <m/>
    <x v="0"/>
    <x v="1"/>
    <x v="0"/>
    <n v="0"/>
    <x v="0"/>
  </r>
  <r>
    <s v="Ohio"/>
    <x v="3"/>
    <x v="9"/>
    <n v="4"/>
    <n v="55"/>
    <n v="13.75"/>
    <m/>
    <m/>
    <x v="0"/>
    <x v="1"/>
    <x v="0"/>
    <n v="0"/>
    <x v="0"/>
  </r>
  <r>
    <s v="Oklahoma State"/>
    <x v="1"/>
    <x v="9"/>
    <n v="2"/>
    <n v="5"/>
    <n v="2.5"/>
    <m/>
    <m/>
    <x v="0"/>
    <x v="1"/>
    <x v="0"/>
    <n v="0"/>
    <x v="0"/>
  </r>
  <r>
    <s v="Oregon State"/>
    <x v="9"/>
    <x v="9"/>
    <n v="2"/>
    <n v="19"/>
    <n v="9.5"/>
    <m/>
    <m/>
    <x v="0"/>
    <x v="1"/>
    <x v="0"/>
    <n v="0"/>
    <x v="0"/>
  </r>
  <r>
    <s v="Rice"/>
    <x v="6"/>
    <x v="9"/>
    <n v="2"/>
    <n v="21"/>
    <n v="10.5"/>
    <m/>
    <m/>
    <x v="0"/>
    <x v="1"/>
    <x v="0"/>
    <n v="0"/>
    <x v="0"/>
  </r>
  <r>
    <s v="SMU"/>
    <x v="5"/>
    <x v="9"/>
    <n v="3"/>
    <n v="18"/>
    <n v="6"/>
    <m/>
    <m/>
    <x v="0"/>
    <x v="1"/>
    <x v="0"/>
    <n v="0"/>
    <x v="0"/>
  </r>
  <r>
    <s v="Sam Houston"/>
    <x v="7"/>
    <x v="9"/>
    <n v="3"/>
    <n v="38"/>
    <n v="12.67"/>
    <m/>
    <m/>
    <x v="0"/>
    <x v="1"/>
    <x v="0"/>
    <n v="0"/>
    <x v="0"/>
  </r>
  <r>
    <s v="Southern Miss"/>
    <x v="0"/>
    <x v="9"/>
    <n v="1"/>
    <n v="2"/>
    <n v="2"/>
    <m/>
    <m/>
    <x v="0"/>
    <x v="1"/>
    <x v="0"/>
    <n v="0"/>
    <x v="0"/>
  </r>
  <r>
    <s v="TCU"/>
    <x v="1"/>
    <x v="9"/>
    <n v="3"/>
    <n v="49"/>
    <n v="16.329999999999998"/>
    <m/>
    <m/>
    <x v="0"/>
    <x v="1"/>
    <x v="0"/>
    <n v="0"/>
    <x v="0"/>
  </r>
  <r>
    <s v="Texas State"/>
    <x v="0"/>
    <x v="9"/>
    <n v="3"/>
    <n v="36"/>
    <n v="12"/>
    <m/>
    <m/>
    <x v="0"/>
    <x v="1"/>
    <x v="0"/>
    <n v="0"/>
    <x v="0"/>
  </r>
  <r>
    <s v="Toledo"/>
    <x v="3"/>
    <x v="9"/>
    <n v="1"/>
    <n v="12"/>
    <n v="12"/>
    <m/>
    <m/>
    <x v="0"/>
    <x v="1"/>
    <x v="0"/>
    <n v="0"/>
    <x v="0"/>
  </r>
  <r>
    <s v="Tulane"/>
    <x v="6"/>
    <x v="9"/>
    <n v="3"/>
    <n v="14"/>
    <n v="4.67"/>
    <m/>
    <m/>
    <x v="0"/>
    <x v="1"/>
    <x v="0"/>
    <n v="0"/>
    <x v="0"/>
  </r>
  <r>
    <s v="UCF"/>
    <x v="1"/>
    <x v="9"/>
    <n v="2"/>
    <n v="21"/>
    <n v="10.5"/>
    <m/>
    <m/>
    <x v="0"/>
    <x v="1"/>
    <x v="0"/>
    <n v="0"/>
    <x v="0"/>
  </r>
  <r>
    <s v="UL Monroe"/>
    <x v="0"/>
    <x v="9"/>
    <n v="4"/>
    <n v="45"/>
    <n v="11.25"/>
    <m/>
    <m/>
    <x v="0"/>
    <x v="1"/>
    <x v="0"/>
    <n v="0"/>
    <x v="0"/>
  </r>
  <r>
    <s v="UMass"/>
    <x v="3"/>
    <x v="9"/>
    <n v="4"/>
    <n v="31"/>
    <n v="7.75"/>
    <m/>
    <m/>
    <x v="0"/>
    <x v="1"/>
    <x v="0"/>
    <n v="0"/>
    <x v="0"/>
  </r>
  <r>
    <s v="UNLV"/>
    <x v="4"/>
    <x v="9"/>
    <n v="2"/>
    <n v="9"/>
    <n v="4.5"/>
    <m/>
    <m/>
    <x v="0"/>
    <x v="1"/>
    <x v="0"/>
    <n v="0"/>
    <x v="0"/>
  </r>
  <r>
    <s v="UTEP"/>
    <x v="7"/>
    <x v="9"/>
    <n v="1"/>
    <n v="6"/>
    <n v="6"/>
    <m/>
    <m/>
    <x v="0"/>
    <x v="1"/>
    <x v="0"/>
    <n v="0"/>
    <x v="0"/>
  </r>
  <r>
    <s v="UTSA"/>
    <x v="6"/>
    <x v="9"/>
    <n v="4"/>
    <n v="46"/>
    <n v="11.5"/>
    <m/>
    <m/>
    <x v="0"/>
    <x v="1"/>
    <x v="0"/>
    <n v="0"/>
    <x v="0"/>
  </r>
  <r>
    <s v="Utah State"/>
    <x v="4"/>
    <x v="9"/>
    <n v="5"/>
    <n v="111"/>
    <n v="22.2"/>
    <m/>
    <m/>
    <x v="0"/>
    <x v="1"/>
    <x v="0"/>
    <n v="0"/>
    <x v="0"/>
  </r>
  <r>
    <s v="Virginia Tech"/>
    <x v="5"/>
    <x v="9"/>
    <n v="4"/>
    <n v="45"/>
    <n v="11.25"/>
    <m/>
    <m/>
    <x v="0"/>
    <x v="1"/>
    <x v="0"/>
    <n v="0"/>
    <x v="0"/>
  </r>
  <r>
    <s v="Washington"/>
    <x v="8"/>
    <x v="9"/>
    <n v="2"/>
    <n v="18"/>
    <n v="9"/>
    <m/>
    <m/>
    <x v="0"/>
    <x v="1"/>
    <x v="0"/>
    <n v="0"/>
    <x v="0"/>
  </r>
  <r>
    <s v="Washington State"/>
    <x v="9"/>
    <x v="9"/>
    <n v="3"/>
    <n v="21"/>
    <n v="7"/>
    <m/>
    <m/>
    <x v="0"/>
    <x v="1"/>
    <x v="0"/>
    <n v="0"/>
    <x v="0"/>
  </r>
  <r>
    <s v="West Virginia"/>
    <x v="1"/>
    <x v="9"/>
    <n v="3"/>
    <n v="59"/>
    <n v="19.670000000000002"/>
    <m/>
    <m/>
    <x v="0"/>
    <x v="1"/>
    <x v="0"/>
    <n v="0"/>
    <x v="0"/>
  </r>
  <r>
    <s v="Wyoming"/>
    <x v="4"/>
    <x v="9"/>
    <n v="5"/>
    <n v="39"/>
    <n v="7.8"/>
    <m/>
    <m/>
    <x v="0"/>
    <x v="1"/>
    <x v="0"/>
    <n v="0"/>
    <x v="0"/>
  </r>
  <r>
    <s v="Air Force"/>
    <x v="4"/>
    <x v="12"/>
    <n v="2"/>
    <n v="28"/>
    <n v="14"/>
    <m/>
    <m/>
    <x v="0"/>
    <x v="2"/>
    <x v="0"/>
    <n v="0"/>
    <x v="0"/>
  </r>
  <r>
    <s v="Akron"/>
    <x v="3"/>
    <x v="6"/>
    <n v="2"/>
    <n v="15"/>
    <n v="7.5"/>
    <m/>
    <m/>
    <x v="0"/>
    <x v="2"/>
    <x v="0"/>
    <n v="0"/>
    <x v="0"/>
  </r>
  <r>
    <s v="App State"/>
    <x v="0"/>
    <x v="12"/>
    <n v="4"/>
    <n v="30"/>
    <n v="7.5"/>
    <m/>
    <m/>
    <x v="0"/>
    <x v="2"/>
    <x v="0"/>
    <n v="0"/>
    <x v="0"/>
  </r>
  <r>
    <s v="App State"/>
    <x v="0"/>
    <x v="6"/>
    <n v="3"/>
    <n v="39"/>
    <n v="13"/>
    <m/>
    <m/>
    <x v="0"/>
    <x v="2"/>
    <x v="0"/>
    <n v="0"/>
    <x v="0"/>
  </r>
  <r>
    <s v="Arizona"/>
    <x v="1"/>
    <x v="8"/>
    <n v="2"/>
    <n v="15"/>
    <n v="7.5"/>
    <m/>
    <m/>
    <x v="0"/>
    <x v="2"/>
    <x v="0"/>
    <n v="0"/>
    <x v="0"/>
  </r>
  <r>
    <s v="Arizona State"/>
    <x v="1"/>
    <x v="12"/>
    <n v="2"/>
    <n v="3"/>
    <n v="1.5"/>
    <m/>
    <m/>
    <x v="0"/>
    <x v="2"/>
    <x v="0"/>
    <n v="0"/>
    <x v="0"/>
  </r>
  <r>
    <s v="Arizona State"/>
    <x v="1"/>
    <x v="6"/>
    <n v="1"/>
    <n v="9"/>
    <n v="9"/>
    <m/>
    <m/>
    <x v="0"/>
    <x v="2"/>
    <x v="0"/>
    <n v="0"/>
    <x v="0"/>
  </r>
  <r>
    <s v="Auburn"/>
    <x v="2"/>
    <x v="12"/>
    <n v="2"/>
    <n v="15"/>
    <n v="7.5"/>
    <m/>
    <m/>
    <x v="0"/>
    <x v="2"/>
    <x v="0"/>
    <n v="0"/>
    <x v="0"/>
  </r>
  <r>
    <s v="Ball State"/>
    <x v="3"/>
    <x v="6"/>
    <n v="3"/>
    <n v="36"/>
    <n v="12"/>
    <m/>
    <m/>
    <x v="0"/>
    <x v="2"/>
    <x v="0"/>
    <n v="0"/>
    <x v="0"/>
  </r>
  <r>
    <s v="Boise State"/>
    <x v="4"/>
    <x v="11"/>
    <n v="1"/>
    <n v="11"/>
    <n v="11"/>
    <m/>
    <m/>
    <x v="0"/>
    <x v="2"/>
    <x v="0"/>
    <n v="0"/>
    <x v="0"/>
  </r>
  <r>
    <s v="Boston College"/>
    <x v="5"/>
    <x v="6"/>
    <n v="5"/>
    <n v="21"/>
    <n v="4.2"/>
    <m/>
    <m/>
    <x v="0"/>
    <x v="2"/>
    <x v="0"/>
    <n v="0"/>
    <x v="0"/>
  </r>
  <r>
    <s v="Boston College"/>
    <x v="5"/>
    <x v="8"/>
    <n v="3"/>
    <n v="44"/>
    <n v="14.67"/>
    <m/>
    <m/>
    <x v="0"/>
    <x v="2"/>
    <x v="0"/>
    <n v="0"/>
    <x v="0"/>
  </r>
  <r>
    <s v="Boston College"/>
    <x v="5"/>
    <x v="12"/>
    <n v="1"/>
    <n v="25"/>
    <n v="25"/>
    <m/>
    <m/>
    <x v="0"/>
    <x v="2"/>
    <x v="0"/>
    <n v="0"/>
    <x v="0"/>
  </r>
  <r>
    <s v="C Michigan"/>
    <x v="3"/>
    <x v="6"/>
    <n v="4"/>
    <n v="19"/>
    <n v="4.75"/>
    <m/>
    <m/>
    <x v="0"/>
    <x v="2"/>
    <x v="0"/>
    <n v="0"/>
    <x v="0"/>
  </r>
  <r>
    <s v="C Michigan"/>
    <x v="3"/>
    <x v="12"/>
    <n v="1"/>
    <n v="6"/>
    <n v="6"/>
    <m/>
    <m/>
    <x v="0"/>
    <x v="2"/>
    <x v="0"/>
    <n v="0"/>
    <x v="0"/>
  </r>
  <r>
    <s v="C Michigan"/>
    <x v="3"/>
    <x v="8"/>
    <n v="1"/>
    <n v="2"/>
    <n v="2"/>
    <m/>
    <m/>
    <x v="0"/>
    <x v="2"/>
    <x v="0"/>
    <n v="0"/>
    <x v="0"/>
  </r>
  <r>
    <s v="California"/>
    <x v="5"/>
    <x v="8"/>
    <n v="2"/>
    <n v="35"/>
    <n v="17.5"/>
    <m/>
    <m/>
    <x v="0"/>
    <x v="2"/>
    <x v="0"/>
    <n v="0"/>
    <x v="0"/>
  </r>
  <r>
    <s v="California"/>
    <x v="5"/>
    <x v="12"/>
    <n v="1"/>
    <n v="8"/>
    <n v="8"/>
    <m/>
    <m/>
    <x v="0"/>
    <x v="2"/>
    <x v="0"/>
    <n v="0"/>
    <x v="0"/>
  </r>
  <r>
    <s v="Coastal Carolina"/>
    <x v="0"/>
    <x v="12"/>
    <n v="2"/>
    <n v="15"/>
    <n v="7.5"/>
    <m/>
    <m/>
    <x v="0"/>
    <x v="2"/>
    <x v="0"/>
    <n v="0"/>
    <x v="0"/>
  </r>
  <r>
    <s v="Colorado"/>
    <x v="1"/>
    <x v="6"/>
    <n v="3"/>
    <n v="25"/>
    <n v="8.33"/>
    <m/>
    <m/>
    <x v="0"/>
    <x v="2"/>
    <x v="0"/>
    <n v="0"/>
    <x v="0"/>
  </r>
  <r>
    <s v="Delaware"/>
    <x v="7"/>
    <x v="6"/>
    <n v="3"/>
    <n v="30"/>
    <n v="10"/>
    <m/>
    <m/>
    <x v="0"/>
    <x v="2"/>
    <x v="0"/>
    <n v="0"/>
    <x v="0"/>
  </r>
  <r>
    <s v="Duke"/>
    <x v="5"/>
    <x v="11"/>
    <n v="1"/>
    <n v="6"/>
    <n v="6"/>
    <m/>
    <m/>
    <x v="0"/>
    <x v="2"/>
    <x v="0"/>
    <n v="0"/>
    <x v="0"/>
  </r>
  <r>
    <s v="Duke"/>
    <x v="5"/>
    <x v="6"/>
    <n v="1"/>
    <n v="10"/>
    <n v="10"/>
    <m/>
    <m/>
    <x v="0"/>
    <x v="2"/>
    <x v="0"/>
    <n v="0"/>
    <x v="0"/>
  </r>
  <r>
    <s v="E Michigan"/>
    <x v="3"/>
    <x v="6"/>
    <n v="3"/>
    <n v="26"/>
    <n v="8.67"/>
    <m/>
    <m/>
    <x v="0"/>
    <x v="2"/>
    <x v="0"/>
    <n v="0"/>
    <x v="0"/>
  </r>
  <r>
    <s v="East Carolina"/>
    <x v="6"/>
    <x v="6"/>
    <n v="2"/>
    <n v="1"/>
    <n v="0.5"/>
    <m/>
    <m/>
    <x v="0"/>
    <x v="2"/>
    <x v="0"/>
    <n v="0"/>
    <x v="0"/>
  </r>
  <r>
    <s v="East Carolina"/>
    <x v="6"/>
    <x v="12"/>
    <n v="1"/>
    <n v="50"/>
    <n v="50"/>
    <m/>
    <m/>
    <x v="0"/>
    <x v="2"/>
    <x v="0"/>
    <n v="0"/>
    <x v="0"/>
  </r>
  <r>
    <s v="FIU"/>
    <x v="7"/>
    <x v="6"/>
    <n v="3"/>
    <n v="44"/>
    <n v="14.67"/>
    <m/>
    <m/>
    <x v="0"/>
    <x v="2"/>
    <x v="0"/>
    <n v="0"/>
    <x v="0"/>
  </r>
  <r>
    <s v="Florida"/>
    <x v="2"/>
    <x v="8"/>
    <n v="2"/>
    <n v="7"/>
    <n v="3.5"/>
    <m/>
    <m/>
    <x v="0"/>
    <x v="2"/>
    <x v="0"/>
    <n v="0"/>
    <x v="0"/>
  </r>
  <r>
    <s v="Florida"/>
    <x v="2"/>
    <x v="6"/>
    <n v="2"/>
    <n v="57"/>
    <n v="28.5"/>
    <m/>
    <m/>
    <x v="0"/>
    <x v="2"/>
    <x v="0"/>
    <n v="0"/>
    <x v="0"/>
  </r>
  <r>
    <s v="Fresno State"/>
    <x v="4"/>
    <x v="6"/>
    <n v="5"/>
    <n v="50"/>
    <n v="10"/>
    <m/>
    <m/>
    <x v="0"/>
    <x v="2"/>
    <x v="0"/>
    <n v="0"/>
    <x v="0"/>
  </r>
  <r>
    <s v="Fresno State"/>
    <x v="4"/>
    <x v="12"/>
    <n v="3"/>
    <n v="30"/>
    <n v="10"/>
    <m/>
    <m/>
    <x v="0"/>
    <x v="2"/>
    <x v="0"/>
    <n v="0"/>
    <x v="0"/>
  </r>
  <r>
    <s v="Georgia Southern"/>
    <x v="0"/>
    <x v="8"/>
    <n v="1"/>
    <n v="7"/>
    <n v="7"/>
    <m/>
    <m/>
    <x v="0"/>
    <x v="2"/>
    <x v="0"/>
    <n v="0"/>
    <x v="0"/>
  </r>
  <r>
    <s v="Georgia State"/>
    <x v="0"/>
    <x v="12"/>
    <n v="3"/>
    <n v="76"/>
    <n v="25.33"/>
    <m/>
    <m/>
    <x v="0"/>
    <x v="2"/>
    <x v="0"/>
    <n v="0"/>
    <x v="0"/>
  </r>
  <r>
    <s v="Hawai'i"/>
    <x v="4"/>
    <x v="6"/>
    <n v="3"/>
    <n v="27"/>
    <n v="9"/>
    <m/>
    <m/>
    <x v="0"/>
    <x v="2"/>
    <x v="0"/>
    <n v="0"/>
    <x v="0"/>
  </r>
  <r>
    <s v="Hawai'i"/>
    <x v="4"/>
    <x v="12"/>
    <n v="2"/>
    <n v="15"/>
    <n v="7.5"/>
    <m/>
    <m/>
    <x v="0"/>
    <x v="2"/>
    <x v="0"/>
    <n v="0"/>
    <x v="0"/>
  </r>
  <r>
    <s v="Houston"/>
    <x v="1"/>
    <x v="6"/>
    <n v="4"/>
    <n v="22"/>
    <n v="5.5"/>
    <m/>
    <m/>
    <x v="0"/>
    <x v="2"/>
    <x v="0"/>
    <n v="0"/>
    <x v="0"/>
  </r>
  <r>
    <s v="Houston"/>
    <x v="1"/>
    <x v="8"/>
    <n v="1"/>
    <n v="6"/>
    <n v="6"/>
    <m/>
    <m/>
    <x v="0"/>
    <x v="2"/>
    <x v="0"/>
    <n v="0"/>
    <x v="0"/>
  </r>
  <r>
    <s v="Illinois"/>
    <x v="8"/>
    <x v="6"/>
    <n v="3"/>
    <n v="69"/>
    <n v="23"/>
    <m/>
    <m/>
    <x v="0"/>
    <x v="2"/>
    <x v="0"/>
    <n v="0"/>
    <x v="0"/>
  </r>
  <r>
    <s v="Illinois"/>
    <x v="8"/>
    <x v="11"/>
    <n v="2"/>
    <n v="15"/>
    <n v="7.5"/>
    <m/>
    <m/>
    <x v="0"/>
    <x v="2"/>
    <x v="0"/>
    <n v="0"/>
    <x v="0"/>
  </r>
  <r>
    <s v="Illinois"/>
    <x v="8"/>
    <x v="12"/>
    <n v="2"/>
    <n v="19"/>
    <n v="9.5"/>
    <m/>
    <m/>
    <x v="0"/>
    <x v="2"/>
    <x v="0"/>
    <n v="0"/>
    <x v="0"/>
  </r>
  <r>
    <s v="Iowa State"/>
    <x v="1"/>
    <x v="12"/>
    <n v="1"/>
    <n v="7"/>
    <n v="7"/>
    <m/>
    <m/>
    <x v="0"/>
    <x v="2"/>
    <x v="0"/>
    <n v="0"/>
    <x v="0"/>
  </r>
  <r>
    <s v="Jacksonville State"/>
    <x v="7"/>
    <x v="8"/>
    <n v="2"/>
    <n v="19"/>
    <n v="9.5"/>
    <m/>
    <m/>
    <x v="0"/>
    <x v="2"/>
    <x v="0"/>
    <n v="0"/>
    <x v="0"/>
  </r>
  <r>
    <s v="Kansas State"/>
    <x v="1"/>
    <x v="6"/>
    <n v="2"/>
    <n v="28"/>
    <n v="14"/>
    <m/>
    <m/>
    <x v="0"/>
    <x v="2"/>
    <x v="0"/>
    <n v="0"/>
    <x v="0"/>
  </r>
  <r>
    <s v="Kennesaw State"/>
    <x v="7"/>
    <x v="6"/>
    <n v="3"/>
    <n v="28"/>
    <n v="9.33"/>
    <m/>
    <m/>
    <x v="0"/>
    <x v="2"/>
    <x v="0"/>
    <n v="0"/>
    <x v="0"/>
  </r>
  <r>
    <s v="Kennesaw State"/>
    <x v="7"/>
    <x v="12"/>
    <n v="1"/>
    <n v="17"/>
    <n v="17"/>
    <m/>
    <m/>
    <x v="0"/>
    <x v="2"/>
    <x v="0"/>
    <n v="0"/>
    <x v="0"/>
  </r>
  <r>
    <s v="Kennesaw State"/>
    <x v="7"/>
    <x v="8"/>
    <n v="1"/>
    <n v="6"/>
    <n v="6"/>
    <m/>
    <m/>
    <x v="0"/>
    <x v="2"/>
    <x v="0"/>
    <n v="0"/>
    <x v="0"/>
  </r>
  <r>
    <s v="Kent State"/>
    <x v="3"/>
    <x v="6"/>
    <n v="4"/>
    <n v="37"/>
    <n v="9.25"/>
    <m/>
    <m/>
    <x v="0"/>
    <x v="2"/>
    <x v="0"/>
    <n v="0"/>
    <x v="0"/>
  </r>
  <r>
    <s v="Kent State"/>
    <x v="3"/>
    <x v="14"/>
    <n v="1"/>
    <n v="51"/>
    <n v="51"/>
    <m/>
    <m/>
    <x v="0"/>
    <x v="2"/>
    <x v="0"/>
    <n v="0"/>
    <x v="0"/>
  </r>
  <r>
    <s v="Kentucky"/>
    <x v="2"/>
    <x v="11"/>
    <n v="1"/>
    <n v="50"/>
    <n v="50"/>
    <m/>
    <m/>
    <x v="0"/>
    <x v="2"/>
    <x v="0"/>
    <n v="0"/>
    <x v="0"/>
  </r>
  <r>
    <s v="LSU"/>
    <x v="2"/>
    <x v="6"/>
    <n v="3"/>
    <n v="1"/>
    <n v="0.33"/>
    <m/>
    <m/>
    <x v="0"/>
    <x v="2"/>
    <x v="0"/>
    <n v="0"/>
    <x v="0"/>
  </r>
  <r>
    <s v="LSU"/>
    <x v="2"/>
    <x v="8"/>
    <n v="1"/>
    <n v="59"/>
    <n v="59"/>
    <m/>
    <m/>
    <x v="0"/>
    <x v="2"/>
    <x v="0"/>
    <n v="0"/>
    <x v="0"/>
  </r>
  <r>
    <s v="La Tech"/>
    <x v="7"/>
    <x v="6"/>
    <n v="5"/>
    <n v="83"/>
    <n v="16.600000000000001"/>
    <m/>
    <m/>
    <x v="0"/>
    <x v="2"/>
    <x v="0"/>
    <n v="0"/>
    <x v="0"/>
  </r>
  <r>
    <s v="Liberty"/>
    <x v="7"/>
    <x v="6"/>
    <n v="3"/>
    <n v="27"/>
    <n v="9"/>
    <m/>
    <m/>
    <x v="0"/>
    <x v="2"/>
    <x v="0"/>
    <n v="0"/>
    <x v="0"/>
  </r>
  <r>
    <s v="Liberty"/>
    <x v="7"/>
    <x v="12"/>
    <n v="2"/>
    <n v="15"/>
    <n v="7.5"/>
    <m/>
    <m/>
    <x v="0"/>
    <x v="2"/>
    <x v="0"/>
    <n v="0"/>
    <x v="0"/>
  </r>
  <r>
    <s v="Louisiana"/>
    <x v="0"/>
    <x v="8"/>
    <n v="2"/>
    <n v="34"/>
    <n v="17"/>
    <m/>
    <m/>
    <x v="0"/>
    <x v="2"/>
    <x v="0"/>
    <n v="0"/>
    <x v="0"/>
  </r>
  <r>
    <s v="MTSU"/>
    <x v="7"/>
    <x v="12"/>
    <n v="3"/>
    <n v="30"/>
    <n v="10"/>
    <m/>
    <m/>
    <x v="0"/>
    <x v="2"/>
    <x v="0"/>
    <n v="0"/>
    <x v="0"/>
  </r>
  <r>
    <s v="MTSU"/>
    <x v="7"/>
    <x v="6"/>
    <n v="2"/>
    <n v="16"/>
    <n v="8"/>
    <m/>
    <m/>
    <x v="0"/>
    <x v="2"/>
    <x v="0"/>
    <n v="0"/>
    <x v="0"/>
  </r>
  <r>
    <s v="Marshall"/>
    <x v="0"/>
    <x v="6"/>
    <n v="2"/>
    <n v="3"/>
    <n v="1.5"/>
    <m/>
    <m/>
    <x v="0"/>
    <x v="2"/>
    <x v="0"/>
    <n v="0"/>
    <x v="0"/>
  </r>
  <r>
    <s v="Memphis"/>
    <x v="6"/>
    <x v="12"/>
    <n v="3"/>
    <n v="28"/>
    <n v="9.33"/>
    <m/>
    <m/>
    <x v="0"/>
    <x v="2"/>
    <x v="0"/>
    <n v="0"/>
    <x v="0"/>
  </r>
  <r>
    <s v="Miami (OH)"/>
    <x v="3"/>
    <x v="6"/>
    <n v="3"/>
    <n v="4"/>
    <n v="1.33"/>
    <m/>
    <m/>
    <x v="0"/>
    <x v="2"/>
    <x v="0"/>
    <n v="0"/>
    <x v="0"/>
  </r>
  <r>
    <s v="Miami (OH)"/>
    <x v="3"/>
    <x v="8"/>
    <n v="1"/>
    <n v="20"/>
    <n v="20"/>
    <m/>
    <m/>
    <x v="0"/>
    <x v="2"/>
    <x v="0"/>
    <n v="0"/>
    <x v="0"/>
  </r>
  <r>
    <s v="Michigan State"/>
    <x v="8"/>
    <x v="6"/>
    <n v="2"/>
    <n v="38"/>
    <n v="19"/>
    <m/>
    <m/>
    <x v="0"/>
    <x v="2"/>
    <x v="0"/>
    <n v="0"/>
    <x v="0"/>
  </r>
  <r>
    <s v="Minnesota"/>
    <x v="8"/>
    <x v="6"/>
    <n v="3"/>
    <n v="17"/>
    <n v="5.67"/>
    <m/>
    <m/>
    <x v="0"/>
    <x v="2"/>
    <x v="0"/>
    <n v="0"/>
    <x v="0"/>
  </r>
  <r>
    <s v="Mississippi State"/>
    <x v="2"/>
    <x v="12"/>
    <n v="2"/>
    <n v="48"/>
    <n v="24"/>
    <m/>
    <m/>
    <x v="0"/>
    <x v="2"/>
    <x v="0"/>
    <n v="0"/>
    <x v="0"/>
  </r>
  <r>
    <s v="N Texas"/>
    <x v="6"/>
    <x v="6"/>
    <n v="4"/>
    <n v="34"/>
    <n v="8.5"/>
    <m/>
    <m/>
    <x v="0"/>
    <x v="2"/>
    <x v="0"/>
    <n v="0"/>
    <x v="0"/>
  </r>
  <r>
    <s v="NC State"/>
    <x v="5"/>
    <x v="6"/>
    <n v="6"/>
    <n v="38"/>
    <n v="6.33"/>
    <m/>
    <m/>
    <x v="0"/>
    <x v="2"/>
    <x v="0"/>
    <n v="0"/>
    <x v="0"/>
  </r>
  <r>
    <s v="NC State"/>
    <x v="5"/>
    <x v="12"/>
    <n v="2"/>
    <n v="15"/>
    <n v="7.5"/>
    <m/>
    <m/>
    <x v="0"/>
    <x v="2"/>
    <x v="0"/>
    <n v="0"/>
    <x v="0"/>
  </r>
  <r>
    <s v="Navy"/>
    <x v="6"/>
    <x v="6"/>
    <n v="1"/>
    <n v="7"/>
    <n v="7"/>
    <m/>
    <m/>
    <x v="0"/>
    <x v="2"/>
    <x v="0"/>
    <n v="0"/>
    <x v="0"/>
  </r>
  <r>
    <s v="Nebraska"/>
    <x v="8"/>
    <x v="6"/>
    <n v="8"/>
    <n v="143"/>
    <n v="17.88"/>
    <m/>
    <m/>
    <x v="0"/>
    <x v="2"/>
    <x v="0"/>
    <n v="0"/>
    <x v="0"/>
  </r>
  <r>
    <s v="Nevada"/>
    <x v="4"/>
    <x v="6"/>
    <n v="2"/>
    <n v="25"/>
    <n v="12.5"/>
    <m/>
    <m/>
    <x v="0"/>
    <x v="2"/>
    <x v="0"/>
    <n v="0"/>
    <x v="0"/>
  </r>
  <r>
    <s v="Nevada"/>
    <x v="4"/>
    <x v="8"/>
    <n v="1"/>
    <n v="1"/>
    <n v="1"/>
    <m/>
    <m/>
    <x v="0"/>
    <x v="2"/>
    <x v="0"/>
    <n v="0"/>
    <x v="0"/>
  </r>
  <r>
    <s v="New Mexico"/>
    <x v="4"/>
    <x v="6"/>
    <n v="4"/>
    <n v="37"/>
    <n v="9.25"/>
    <m/>
    <m/>
    <x v="0"/>
    <x v="2"/>
    <x v="0"/>
    <n v="0"/>
    <x v="0"/>
  </r>
  <r>
    <s v="New Mexico"/>
    <x v="4"/>
    <x v="8"/>
    <n v="1"/>
    <n v="12"/>
    <n v="12"/>
    <m/>
    <m/>
    <x v="0"/>
    <x v="2"/>
    <x v="0"/>
    <n v="0"/>
    <x v="0"/>
  </r>
  <r>
    <s v="New Mexico State"/>
    <x v="7"/>
    <x v="12"/>
    <n v="2"/>
    <n v="21"/>
    <n v="10.5"/>
    <m/>
    <m/>
    <x v="0"/>
    <x v="2"/>
    <x v="0"/>
    <n v="0"/>
    <x v="0"/>
  </r>
  <r>
    <s v="New Mexico State"/>
    <x v="7"/>
    <x v="14"/>
    <n v="1"/>
    <n v="40"/>
    <n v="40"/>
    <m/>
    <m/>
    <x v="0"/>
    <x v="2"/>
    <x v="0"/>
    <n v="0"/>
    <x v="0"/>
  </r>
  <r>
    <s v="North Carolina"/>
    <x v="5"/>
    <x v="12"/>
    <n v="3"/>
    <n v="37"/>
    <n v="12.33"/>
    <m/>
    <m/>
    <x v="0"/>
    <x v="2"/>
    <x v="0"/>
    <n v="0"/>
    <x v="0"/>
  </r>
  <r>
    <s v="North Carolina"/>
    <x v="5"/>
    <x v="6"/>
    <n v="1"/>
    <n v="1"/>
    <n v="1"/>
    <m/>
    <m/>
    <x v="0"/>
    <x v="2"/>
    <x v="0"/>
    <n v="0"/>
    <x v="0"/>
  </r>
  <r>
    <s v="Northwestern"/>
    <x v="8"/>
    <x v="6"/>
    <n v="3"/>
    <n v="18"/>
    <n v="6"/>
    <m/>
    <m/>
    <x v="0"/>
    <x v="2"/>
    <x v="0"/>
    <n v="0"/>
    <x v="0"/>
  </r>
  <r>
    <s v="Ohio"/>
    <x v="3"/>
    <x v="6"/>
    <n v="2"/>
    <n v="64"/>
    <n v="32"/>
    <m/>
    <m/>
    <x v="0"/>
    <x v="2"/>
    <x v="0"/>
    <n v="0"/>
    <x v="0"/>
  </r>
  <r>
    <s v="Oklahoma State"/>
    <x v="1"/>
    <x v="8"/>
    <n v="2"/>
    <n v="22"/>
    <n v="11"/>
    <m/>
    <m/>
    <x v="0"/>
    <x v="2"/>
    <x v="0"/>
    <n v="0"/>
    <x v="0"/>
  </r>
  <r>
    <s v="Oregon State"/>
    <x v="9"/>
    <x v="6"/>
    <n v="5"/>
    <n v="44"/>
    <n v="8.8000000000000007"/>
    <m/>
    <m/>
    <x v="0"/>
    <x v="2"/>
    <x v="0"/>
    <n v="0"/>
    <x v="0"/>
  </r>
  <r>
    <s v="Purdue"/>
    <x v="8"/>
    <x v="12"/>
    <n v="2"/>
    <n v="12"/>
    <n v="6"/>
    <m/>
    <m/>
    <x v="0"/>
    <x v="2"/>
    <x v="0"/>
    <n v="0"/>
    <x v="0"/>
  </r>
  <r>
    <s v="Rice"/>
    <x v="6"/>
    <x v="12"/>
    <n v="2"/>
    <n v="1"/>
    <n v="0.5"/>
    <m/>
    <m/>
    <x v="0"/>
    <x v="2"/>
    <x v="0"/>
    <n v="0"/>
    <x v="0"/>
  </r>
  <r>
    <s v="S Alabama"/>
    <x v="0"/>
    <x v="8"/>
    <n v="1"/>
    <n v="6"/>
    <n v="6"/>
    <m/>
    <m/>
    <x v="0"/>
    <x v="2"/>
    <x v="0"/>
    <n v="0"/>
    <x v="0"/>
  </r>
  <r>
    <s v="SMU"/>
    <x v="5"/>
    <x v="6"/>
    <n v="9"/>
    <n v="105"/>
    <n v="11.67"/>
    <m/>
    <m/>
    <x v="0"/>
    <x v="2"/>
    <x v="0"/>
    <n v="0"/>
    <x v="0"/>
  </r>
  <r>
    <s v="San Jose St"/>
    <x v="4"/>
    <x v="6"/>
    <n v="4"/>
    <n v="31"/>
    <n v="7.75"/>
    <m/>
    <m/>
    <x v="0"/>
    <x v="2"/>
    <x v="0"/>
    <n v="0"/>
    <x v="0"/>
  </r>
  <r>
    <s v="San Jose St"/>
    <x v="4"/>
    <x v="14"/>
    <n v="2"/>
    <n v="52"/>
    <n v="26"/>
    <m/>
    <m/>
    <x v="0"/>
    <x v="2"/>
    <x v="0"/>
    <n v="0"/>
    <x v="0"/>
  </r>
  <r>
    <s v="Southern Miss"/>
    <x v="0"/>
    <x v="12"/>
    <n v="4"/>
    <n v="15"/>
    <n v="3.75"/>
    <m/>
    <m/>
    <x v="0"/>
    <x v="2"/>
    <x v="0"/>
    <n v="0"/>
    <x v="0"/>
  </r>
  <r>
    <s v="Stanford"/>
    <x v="5"/>
    <x v="6"/>
    <n v="3"/>
    <n v="38"/>
    <n v="12.67"/>
    <m/>
    <m/>
    <x v="0"/>
    <x v="2"/>
    <x v="0"/>
    <n v="0"/>
    <x v="0"/>
  </r>
  <r>
    <s v="Syracuse"/>
    <x v="5"/>
    <x v="12"/>
    <n v="3"/>
    <n v="30"/>
    <n v="10"/>
    <m/>
    <m/>
    <x v="0"/>
    <x v="2"/>
    <x v="0"/>
    <n v="0"/>
    <x v="0"/>
  </r>
  <r>
    <s v="TCU"/>
    <x v="1"/>
    <x v="6"/>
    <n v="2"/>
    <n v="15"/>
    <n v="7.5"/>
    <m/>
    <m/>
    <x v="0"/>
    <x v="2"/>
    <x v="0"/>
    <n v="0"/>
    <x v="0"/>
  </r>
  <r>
    <s v="Texas State"/>
    <x v="0"/>
    <x v="12"/>
    <n v="1"/>
    <n v="6"/>
    <n v="6"/>
    <m/>
    <m/>
    <x v="0"/>
    <x v="2"/>
    <x v="0"/>
    <n v="0"/>
    <x v="0"/>
  </r>
  <r>
    <s v="Troy"/>
    <x v="0"/>
    <x v="12"/>
    <n v="3"/>
    <n v="30"/>
    <n v="10"/>
    <m/>
    <m/>
    <x v="0"/>
    <x v="2"/>
    <x v="0"/>
    <n v="0"/>
    <x v="0"/>
  </r>
  <r>
    <s v="Tulane"/>
    <x v="6"/>
    <x v="12"/>
    <n v="2"/>
    <n v="15"/>
    <n v="7.5"/>
    <m/>
    <m/>
    <x v="0"/>
    <x v="2"/>
    <x v="0"/>
    <n v="0"/>
    <x v="0"/>
  </r>
  <r>
    <s v="Tulane"/>
    <x v="6"/>
    <x v="14"/>
    <n v="1"/>
    <n v="41"/>
    <n v="41"/>
    <m/>
    <m/>
    <x v="0"/>
    <x v="2"/>
    <x v="0"/>
    <n v="0"/>
    <x v="0"/>
  </r>
  <r>
    <s v="Tulsa"/>
    <x v="6"/>
    <x v="12"/>
    <n v="2"/>
    <n v="58"/>
    <n v="29"/>
    <m/>
    <m/>
    <x v="0"/>
    <x v="2"/>
    <x v="0"/>
    <n v="0"/>
    <x v="0"/>
  </r>
  <r>
    <s v="UAB"/>
    <x v="6"/>
    <x v="6"/>
    <n v="1"/>
    <n v="65"/>
    <n v="65"/>
    <m/>
    <m/>
    <x v="0"/>
    <x v="2"/>
    <x v="0"/>
    <n v="0"/>
    <x v="0"/>
  </r>
  <r>
    <s v="UCF"/>
    <x v="1"/>
    <x v="8"/>
    <n v="2"/>
    <n v="14"/>
    <n v="7"/>
    <m/>
    <m/>
    <x v="0"/>
    <x v="2"/>
    <x v="0"/>
    <n v="0"/>
    <x v="0"/>
  </r>
  <r>
    <s v="UCLA"/>
    <x v="8"/>
    <x v="6"/>
    <n v="6"/>
    <n v="53"/>
    <n v="8.83"/>
    <m/>
    <m/>
    <x v="0"/>
    <x v="2"/>
    <x v="0"/>
    <n v="0"/>
    <x v="0"/>
  </r>
  <r>
    <s v="UConn"/>
    <x v="10"/>
    <x v="6"/>
    <n v="4"/>
    <n v="131"/>
    <n v="32.75"/>
    <m/>
    <m/>
    <x v="0"/>
    <x v="2"/>
    <x v="0"/>
    <n v="0"/>
    <x v="0"/>
  </r>
  <r>
    <s v="UConn"/>
    <x v="10"/>
    <x v="12"/>
    <n v="3"/>
    <n v="22"/>
    <n v="7.33"/>
    <m/>
    <m/>
    <x v="0"/>
    <x v="2"/>
    <x v="0"/>
    <n v="0"/>
    <x v="0"/>
  </r>
  <r>
    <s v="UL Monroe"/>
    <x v="0"/>
    <x v="6"/>
    <n v="3"/>
    <n v="17"/>
    <n v="5.67"/>
    <m/>
    <m/>
    <x v="0"/>
    <x v="2"/>
    <x v="0"/>
    <n v="0"/>
    <x v="0"/>
  </r>
  <r>
    <s v="UL Monroe"/>
    <x v="0"/>
    <x v="8"/>
    <n v="1"/>
    <n v="34"/>
    <n v="34"/>
    <m/>
    <m/>
    <x v="0"/>
    <x v="2"/>
    <x v="0"/>
    <n v="0"/>
    <x v="0"/>
  </r>
  <r>
    <s v="UMass"/>
    <x v="3"/>
    <x v="6"/>
    <n v="2"/>
    <n v="7"/>
    <n v="3.5"/>
    <m/>
    <m/>
    <x v="0"/>
    <x v="2"/>
    <x v="0"/>
    <n v="0"/>
    <x v="0"/>
  </r>
  <r>
    <s v="UMass"/>
    <x v="3"/>
    <x v="12"/>
    <n v="1"/>
    <n v="18"/>
    <n v="18"/>
    <m/>
    <m/>
    <x v="0"/>
    <x v="2"/>
    <x v="0"/>
    <n v="0"/>
    <x v="0"/>
  </r>
  <r>
    <s v="UNLV"/>
    <x v="4"/>
    <x v="6"/>
    <n v="3"/>
    <n v="31"/>
    <n v="10.33"/>
    <m/>
    <m/>
    <x v="0"/>
    <x v="2"/>
    <x v="0"/>
    <n v="0"/>
    <x v="0"/>
  </r>
  <r>
    <s v="USF"/>
    <x v="6"/>
    <x v="6"/>
    <n v="4"/>
    <n v="45"/>
    <n v="11.25"/>
    <m/>
    <m/>
    <x v="0"/>
    <x v="2"/>
    <x v="0"/>
    <n v="0"/>
    <x v="0"/>
  </r>
  <r>
    <s v="UTEP"/>
    <x v="7"/>
    <x v="6"/>
    <n v="5"/>
    <n v="71"/>
    <n v="14.2"/>
    <m/>
    <m/>
    <x v="0"/>
    <x v="2"/>
    <x v="0"/>
    <n v="0"/>
    <x v="0"/>
  </r>
  <r>
    <s v="UTEP"/>
    <x v="7"/>
    <x v="12"/>
    <n v="1"/>
    <n v="14"/>
    <n v="14"/>
    <m/>
    <m/>
    <x v="0"/>
    <x v="2"/>
    <x v="0"/>
    <n v="0"/>
    <x v="0"/>
  </r>
  <r>
    <s v="UTSA"/>
    <x v="6"/>
    <x v="6"/>
    <n v="2"/>
    <n v="14"/>
    <n v="7"/>
    <m/>
    <m/>
    <x v="0"/>
    <x v="2"/>
    <x v="0"/>
    <n v="0"/>
    <x v="0"/>
  </r>
  <r>
    <s v="Utah State"/>
    <x v="4"/>
    <x v="11"/>
    <n v="2"/>
    <n v="15"/>
    <n v="7.5"/>
    <m/>
    <m/>
    <x v="0"/>
    <x v="2"/>
    <x v="0"/>
    <n v="0"/>
    <x v="0"/>
  </r>
  <r>
    <s v="Utah State"/>
    <x v="4"/>
    <x v="14"/>
    <n v="1"/>
    <n v="36"/>
    <n v="36"/>
    <m/>
    <m/>
    <x v="0"/>
    <x v="2"/>
    <x v="0"/>
    <n v="0"/>
    <x v="0"/>
  </r>
  <r>
    <s v="Utah State"/>
    <x v="4"/>
    <x v="6"/>
    <n v="1"/>
    <n v="39"/>
    <n v="39"/>
    <m/>
    <m/>
    <x v="0"/>
    <x v="2"/>
    <x v="0"/>
    <n v="0"/>
    <x v="0"/>
  </r>
  <r>
    <s v="W Michigan"/>
    <x v="3"/>
    <x v="6"/>
    <n v="4"/>
    <n v="7"/>
    <n v="1.75"/>
    <m/>
    <m/>
    <x v="0"/>
    <x v="2"/>
    <x v="0"/>
    <n v="0"/>
    <x v="0"/>
  </r>
  <r>
    <s v="WKU"/>
    <x v="7"/>
    <x v="8"/>
    <n v="1"/>
    <n v="11"/>
    <n v="11"/>
    <m/>
    <m/>
    <x v="0"/>
    <x v="2"/>
    <x v="0"/>
    <n v="0"/>
    <x v="0"/>
  </r>
  <r>
    <s v="Wake Forest"/>
    <x v="5"/>
    <x v="6"/>
    <n v="5"/>
    <n v="103"/>
    <n v="20.6"/>
    <m/>
    <m/>
    <x v="0"/>
    <x v="2"/>
    <x v="0"/>
    <n v="0"/>
    <x v="0"/>
  </r>
  <r>
    <s v="Washington"/>
    <x v="8"/>
    <x v="6"/>
    <n v="4"/>
    <n v="23"/>
    <n v="5.75"/>
    <m/>
    <m/>
    <x v="0"/>
    <x v="2"/>
    <x v="0"/>
    <n v="0"/>
    <x v="0"/>
  </r>
  <r>
    <s v="Washington"/>
    <x v="8"/>
    <x v="8"/>
    <n v="1"/>
    <n v="3"/>
    <n v="3"/>
    <m/>
    <m/>
    <x v="0"/>
    <x v="2"/>
    <x v="0"/>
    <n v="0"/>
    <x v="0"/>
  </r>
  <r>
    <s v="Wyoming"/>
    <x v="4"/>
    <x v="6"/>
    <n v="2"/>
    <n v="25"/>
    <n v="12.5"/>
    <m/>
    <m/>
    <x v="0"/>
    <x v="2"/>
    <x v="0"/>
    <n v="0"/>
    <x v="0"/>
  </r>
  <r>
    <s v="Wyoming"/>
    <x v="4"/>
    <x v="12"/>
    <n v="1"/>
    <n v="1"/>
    <n v="1"/>
    <m/>
    <m/>
    <x v="0"/>
    <x v="2"/>
    <x v="0"/>
    <n v="0"/>
    <x v="0"/>
  </r>
  <r>
    <s v="Air Force"/>
    <x v="4"/>
    <x v="10"/>
    <n v="1"/>
    <n v="1"/>
    <n v="1"/>
    <m/>
    <m/>
    <x v="0"/>
    <x v="2"/>
    <x v="0"/>
    <n v="0"/>
    <x v="0"/>
  </r>
  <r>
    <s v="Akron"/>
    <x v="3"/>
    <x v="10"/>
    <n v="7"/>
    <n v="90"/>
    <n v="12.86"/>
    <m/>
    <m/>
    <x v="0"/>
    <x v="2"/>
    <x v="0"/>
    <n v="0"/>
    <x v="0"/>
  </r>
  <r>
    <s v="Arizona State"/>
    <x v="1"/>
    <x v="10"/>
    <n v="4"/>
    <n v="30"/>
    <n v="7.5"/>
    <m/>
    <m/>
    <x v="0"/>
    <x v="2"/>
    <x v="0"/>
    <n v="0"/>
    <x v="0"/>
  </r>
  <r>
    <s v="Arkansas"/>
    <x v="2"/>
    <x v="10"/>
    <n v="5"/>
    <n v="131"/>
    <n v="26.2"/>
    <m/>
    <m/>
    <x v="0"/>
    <x v="2"/>
    <x v="0"/>
    <n v="0"/>
    <x v="0"/>
  </r>
  <r>
    <s v="Arkansas State"/>
    <x v="0"/>
    <x v="10"/>
    <n v="7"/>
    <n v="51"/>
    <n v="7.29"/>
    <m/>
    <m/>
    <x v="0"/>
    <x v="2"/>
    <x v="0"/>
    <n v="0"/>
    <x v="0"/>
  </r>
  <r>
    <s v="Army"/>
    <x v="6"/>
    <x v="10"/>
    <n v="2"/>
    <n v="20"/>
    <n v="10"/>
    <m/>
    <m/>
    <x v="0"/>
    <x v="2"/>
    <x v="0"/>
    <n v="0"/>
    <x v="0"/>
  </r>
  <r>
    <s v="Ball State"/>
    <x v="3"/>
    <x v="10"/>
    <n v="7"/>
    <n v="22"/>
    <n v="3.14"/>
    <m/>
    <m/>
    <x v="0"/>
    <x v="2"/>
    <x v="0"/>
    <n v="0"/>
    <x v="0"/>
  </r>
  <r>
    <s v="Baylor"/>
    <x v="1"/>
    <x v="10"/>
    <n v="2"/>
    <n v="15"/>
    <n v="7.5"/>
    <m/>
    <m/>
    <x v="0"/>
    <x v="2"/>
    <x v="0"/>
    <n v="0"/>
    <x v="0"/>
  </r>
  <r>
    <s v="Boise State"/>
    <x v="4"/>
    <x v="10"/>
    <n v="2"/>
    <n v="8"/>
    <n v="4"/>
    <m/>
    <m/>
    <x v="0"/>
    <x v="2"/>
    <x v="0"/>
    <n v="0"/>
    <x v="0"/>
  </r>
  <r>
    <s v="Boston College"/>
    <x v="5"/>
    <x v="10"/>
    <n v="6"/>
    <n v="51"/>
    <n v="8.5"/>
    <m/>
    <m/>
    <x v="0"/>
    <x v="2"/>
    <x v="0"/>
    <n v="0"/>
    <x v="0"/>
  </r>
  <r>
    <s v="Buffalo"/>
    <x v="3"/>
    <x v="10"/>
    <n v="1"/>
    <n v="12"/>
    <n v="12"/>
    <m/>
    <m/>
    <x v="0"/>
    <x v="2"/>
    <x v="0"/>
    <n v="0"/>
    <x v="0"/>
  </r>
  <r>
    <s v="C Michigan"/>
    <x v="3"/>
    <x v="10"/>
    <n v="1"/>
    <n v="1"/>
    <n v="1"/>
    <m/>
    <m/>
    <x v="0"/>
    <x v="2"/>
    <x v="0"/>
    <n v="0"/>
    <x v="0"/>
  </r>
  <r>
    <s v="California"/>
    <x v="5"/>
    <x v="10"/>
    <n v="2"/>
    <n v="15"/>
    <n v="7.5"/>
    <m/>
    <m/>
    <x v="0"/>
    <x v="2"/>
    <x v="0"/>
    <n v="0"/>
    <x v="0"/>
  </r>
  <r>
    <s v="Charlotte"/>
    <x v="6"/>
    <x v="10"/>
    <n v="10"/>
    <n v="69"/>
    <n v="6.9"/>
    <m/>
    <m/>
    <x v="0"/>
    <x v="2"/>
    <x v="0"/>
    <n v="0"/>
    <x v="0"/>
  </r>
  <r>
    <s v="Coastal Carolina"/>
    <x v="0"/>
    <x v="10"/>
    <n v="2"/>
    <n v="15"/>
    <n v="7.5"/>
    <m/>
    <m/>
    <x v="0"/>
    <x v="2"/>
    <x v="0"/>
    <n v="0"/>
    <x v="0"/>
  </r>
  <r>
    <s v="Colorado"/>
    <x v="1"/>
    <x v="10"/>
    <n v="2"/>
    <n v="1"/>
    <n v="0.5"/>
    <m/>
    <m/>
    <x v="0"/>
    <x v="2"/>
    <x v="0"/>
    <n v="0"/>
    <x v="0"/>
  </r>
  <r>
    <s v="Colorado State"/>
    <x v="4"/>
    <x v="10"/>
    <n v="4"/>
    <n v="31"/>
    <n v="7.75"/>
    <m/>
    <m/>
    <x v="0"/>
    <x v="2"/>
    <x v="0"/>
    <n v="0"/>
    <x v="0"/>
  </r>
  <r>
    <s v="Delaware"/>
    <x v="7"/>
    <x v="10"/>
    <n v="1"/>
    <n v="22"/>
    <n v="22"/>
    <m/>
    <m/>
    <x v="0"/>
    <x v="2"/>
    <x v="0"/>
    <n v="0"/>
    <x v="0"/>
  </r>
  <r>
    <s v="Duke"/>
    <x v="5"/>
    <x v="10"/>
    <n v="2"/>
    <n v="32"/>
    <n v="16"/>
    <m/>
    <m/>
    <x v="0"/>
    <x v="2"/>
    <x v="0"/>
    <n v="0"/>
    <x v="0"/>
  </r>
  <r>
    <s v="E Michigan"/>
    <x v="3"/>
    <x v="10"/>
    <n v="2"/>
    <n v="9"/>
    <n v="4.5"/>
    <m/>
    <m/>
    <x v="0"/>
    <x v="2"/>
    <x v="0"/>
    <n v="0"/>
    <x v="0"/>
  </r>
  <r>
    <s v="FAU"/>
    <x v="6"/>
    <x v="10"/>
    <n v="2"/>
    <n v="64"/>
    <n v="32"/>
    <m/>
    <m/>
    <x v="0"/>
    <x v="2"/>
    <x v="0"/>
    <n v="0"/>
    <x v="0"/>
  </r>
  <r>
    <s v="FIU"/>
    <x v="7"/>
    <x v="10"/>
    <n v="6"/>
    <n v="68"/>
    <n v="11.33"/>
    <m/>
    <m/>
    <x v="0"/>
    <x v="2"/>
    <x v="0"/>
    <n v="0"/>
    <x v="0"/>
  </r>
  <r>
    <s v="Florida"/>
    <x v="2"/>
    <x v="10"/>
    <n v="6"/>
    <n v="58"/>
    <n v="9.67"/>
    <m/>
    <m/>
    <x v="0"/>
    <x v="2"/>
    <x v="0"/>
    <n v="0"/>
    <x v="0"/>
  </r>
  <r>
    <s v="Florida State"/>
    <x v="5"/>
    <x v="10"/>
    <n v="12"/>
    <n v="64"/>
    <n v="5.33"/>
    <m/>
    <m/>
    <x v="0"/>
    <x v="2"/>
    <x v="0"/>
    <n v="0"/>
    <x v="0"/>
  </r>
  <r>
    <s v="Fresno State"/>
    <x v="4"/>
    <x v="10"/>
    <n v="3"/>
    <n v="34"/>
    <n v="11.33"/>
    <m/>
    <m/>
    <x v="0"/>
    <x v="2"/>
    <x v="0"/>
    <n v="0"/>
    <x v="0"/>
  </r>
  <r>
    <s v="Georgia Southern"/>
    <x v="0"/>
    <x v="10"/>
    <n v="2"/>
    <n v="8"/>
    <n v="4"/>
    <m/>
    <m/>
    <x v="0"/>
    <x v="2"/>
    <x v="0"/>
    <n v="0"/>
    <x v="0"/>
  </r>
  <r>
    <s v="Georgia State"/>
    <x v="0"/>
    <x v="10"/>
    <n v="3"/>
    <n v="19"/>
    <n v="6.33"/>
    <m/>
    <m/>
    <x v="0"/>
    <x v="2"/>
    <x v="0"/>
    <n v="0"/>
    <x v="0"/>
  </r>
  <r>
    <s v="Hawai'i"/>
    <x v="4"/>
    <x v="10"/>
    <n v="5"/>
    <n v="9"/>
    <n v="1.8"/>
    <m/>
    <m/>
    <x v="0"/>
    <x v="2"/>
    <x v="0"/>
    <n v="0"/>
    <x v="0"/>
  </r>
  <r>
    <s v="Illinois"/>
    <x v="8"/>
    <x v="10"/>
    <n v="5"/>
    <n v="28"/>
    <n v="5.6"/>
    <m/>
    <m/>
    <x v="0"/>
    <x v="2"/>
    <x v="0"/>
    <n v="0"/>
    <x v="0"/>
  </r>
  <r>
    <s v="Iowa State"/>
    <x v="1"/>
    <x v="10"/>
    <n v="3"/>
    <n v="21"/>
    <n v="7"/>
    <m/>
    <m/>
    <x v="0"/>
    <x v="2"/>
    <x v="0"/>
    <n v="0"/>
    <x v="0"/>
  </r>
  <r>
    <s v="J Madison"/>
    <x v="0"/>
    <x v="10"/>
    <n v="3"/>
    <n v="38"/>
    <n v="12.67"/>
    <m/>
    <m/>
    <x v="0"/>
    <x v="2"/>
    <x v="0"/>
    <n v="0"/>
    <x v="0"/>
  </r>
  <r>
    <s v="Jacksonville State"/>
    <x v="7"/>
    <x v="10"/>
    <n v="3"/>
    <n v="86"/>
    <n v="28.67"/>
    <m/>
    <m/>
    <x v="0"/>
    <x v="2"/>
    <x v="0"/>
    <n v="0"/>
    <x v="0"/>
  </r>
  <r>
    <s v="Kent State"/>
    <x v="3"/>
    <x v="10"/>
    <n v="2"/>
    <n v="35"/>
    <n v="17.5"/>
    <m/>
    <m/>
    <x v="0"/>
    <x v="2"/>
    <x v="0"/>
    <n v="0"/>
    <x v="0"/>
  </r>
  <r>
    <s v="Kentucky"/>
    <x v="2"/>
    <x v="10"/>
    <n v="4"/>
    <n v="42"/>
    <n v="10.5"/>
    <m/>
    <m/>
    <x v="0"/>
    <x v="2"/>
    <x v="0"/>
    <n v="0"/>
    <x v="0"/>
  </r>
  <r>
    <s v="La Tech"/>
    <x v="7"/>
    <x v="10"/>
    <n v="2"/>
    <n v="16"/>
    <n v="8"/>
    <m/>
    <m/>
    <x v="0"/>
    <x v="2"/>
    <x v="0"/>
    <n v="0"/>
    <x v="0"/>
  </r>
  <r>
    <s v="Liberty"/>
    <x v="7"/>
    <x v="10"/>
    <n v="7"/>
    <n v="68"/>
    <n v="9.7100000000000009"/>
    <m/>
    <m/>
    <x v="0"/>
    <x v="2"/>
    <x v="0"/>
    <n v="0"/>
    <x v="0"/>
  </r>
  <r>
    <s v="Louisiana"/>
    <x v="0"/>
    <x v="10"/>
    <n v="5"/>
    <n v="145"/>
    <n v="29"/>
    <m/>
    <m/>
    <x v="0"/>
    <x v="2"/>
    <x v="0"/>
    <n v="0"/>
    <x v="0"/>
  </r>
  <r>
    <s v="Marshall"/>
    <x v="0"/>
    <x v="10"/>
    <n v="3"/>
    <n v="57"/>
    <n v="19"/>
    <m/>
    <m/>
    <x v="0"/>
    <x v="2"/>
    <x v="0"/>
    <n v="0"/>
    <x v="0"/>
  </r>
  <r>
    <s v="Memphis"/>
    <x v="6"/>
    <x v="10"/>
    <n v="5"/>
    <n v="17"/>
    <n v="3.4"/>
    <m/>
    <m/>
    <x v="0"/>
    <x v="2"/>
    <x v="0"/>
    <n v="0"/>
    <x v="0"/>
  </r>
  <r>
    <s v="Miami (OH)"/>
    <x v="3"/>
    <x v="10"/>
    <n v="3"/>
    <n v="18"/>
    <n v="6"/>
    <m/>
    <m/>
    <x v="0"/>
    <x v="2"/>
    <x v="0"/>
    <n v="0"/>
    <x v="0"/>
  </r>
  <r>
    <s v="Michigan State"/>
    <x v="8"/>
    <x v="10"/>
    <n v="4"/>
    <n v="23"/>
    <n v="5.75"/>
    <m/>
    <m/>
    <x v="0"/>
    <x v="2"/>
    <x v="0"/>
    <n v="0"/>
    <x v="0"/>
  </r>
  <r>
    <s v="Minnesota"/>
    <x v="8"/>
    <x v="10"/>
    <n v="5"/>
    <n v="59"/>
    <n v="11.8"/>
    <m/>
    <m/>
    <x v="0"/>
    <x v="2"/>
    <x v="0"/>
    <n v="0"/>
    <x v="0"/>
  </r>
  <r>
    <s v="Mississippi State"/>
    <x v="2"/>
    <x v="10"/>
    <n v="6"/>
    <n v="59"/>
    <n v="9.83"/>
    <m/>
    <m/>
    <x v="0"/>
    <x v="2"/>
    <x v="0"/>
    <n v="0"/>
    <x v="0"/>
  </r>
  <r>
    <s v="Missouri State"/>
    <x v="7"/>
    <x v="10"/>
    <n v="10"/>
    <n v="110"/>
    <n v="11"/>
    <m/>
    <m/>
    <x v="0"/>
    <x v="2"/>
    <x v="0"/>
    <n v="0"/>
    <x v="0"/>
  </r>
  <r>
    <s v="N Illinois"/>
    <x v="3"/>
    <x v="10"/>
    <n v="3"/>
    <n v="49"/>
    <n v="16.329999999999998"/>
    <m/>
    <m/>
    <x v="0"/>
    <x v="2"/>
    <x v="0"/>
    <n v="0"/>
    <x v="0"/>
  </r>
  <r>
    <s v="N Texas"/>
    <x v="6"/>
    <x v="10"/>
    <n v="2"/>
    <n v="63"/>
    <n v="31.5"/>
    <m/>
    <m/>
    <x v="0"/>
    <x v="2"/>
    <x v="0"/>
    <n v="0"/>
    <x v="0"/>
  </r>
  <r>
    <s v="Nebraska"/>
    <x v="8"/>
    <x v="10"/>
    <n v="2"/>
    <n v="17"/>
    <n v="8.5"/>
    <m/>
    <m/>
    <x v="0"/>
    <x v="2"/>
    <x v="0"/>
    <n v="0"/>
    <x v="0"/>
  </r>
  <r>
    <s v="Nevada"/>
    <x v="4"/>
    <x v="10"/>
    <n v="6"/>
    <n v="122"/>
    <n v="20.329999999999998"/>
    <m/>
    <m/>
    <x v="0"/>
    <x v="2"/>
    <x v="0"/>
    <n v="0"/>
    <x v="0"/>
  </r>
  <r>
    <s v="New Mexico State"/>
    <x v="7"/>
    <x v="10"/>
    <n v="6"/>
    <n v="70"/>
    <n v="11.67"/>
    <m/>
    <m/>
    <x v="0"/>
    <x v="2"/>
    <x v="0"/>
    <n v="0"/>
    <x v="0"/>
  </r>
  <r>
    <s v="North Carolina"/>
    <x v="5"/>
    <x v="10"/>
    <n v="5"/>
    <n v="27"/>
    <n v="5.4"/>
    <m/>
    <m/>
    <x v="0"/>
    <x v="2"/>
    <x v="0"/>
    <n v="0"/>
    <x v="0"/>
  </r>
  <r>
    <s v="Northwestern"/>
    <x v="8"/>
    <x v="10"/>
    <n v="2"/>
    <n v="15"/>
    <n v="7.5"/>
    <m/>
    <m/>
    <x v="0"/>
    <x v="2"/>
    <x v="0"/>
    <n v="0"/>
    <x v="0"/>
  </r>
  <r>
    <s v="ODU"/>
    <x v="0"/>
    <x v="10"/>
    <n v="3"/>
    <n v="41"/>
    <n v="13.67"/>
    <m/>
    <m/>
    <x v="0"/>
    <x v="2"/>
    <x v="0"/>
    <n v="0"/>
    <x v="0"/>
  </r>
  <r>
    <s v="Ohio"/>
    <x v="3"/>
    <x v="10"/>
    <n v="4"/>
    <n v="10"/>
    <n v="2.5"/>
    <m/>
    <m/>
    <x v="0"/>
    <x v="2"/>
    <x v="0"/>
    <n v="0"/>
    <x v="0"/>
  </r>
  <r>
    <s v="Oklahoma State"/>
    <x v="1"/>
    <x v="10"/>
    <n v="2"/>
    <n v="15"/>
    <n v="7.5"/>
    <m/>
    <m/>
    <x v="0"/>
    <x v="2"/>
    <x v="0"/>
    <n v="0"/>
    <x v="0"/>
  </r>
  <r>
    <s v="Purdue"/>
    <x v="8"/>
    <x v="10"/>
    <n v="3"/>
    <n v="55"/>
    <n v="18.329999999999998"/>
    <m/>
    <m/>
    <x v="0"/>
    <x v="2"/>
    <x v="0"/>
    <n v="0"/>
    <x v="0"/>
  </r>
  <r>
    <s v="Rice"/>
    <x v="6"/>
    <x v="10"/>
    <n v="5"/>
    <n v="55"/>
    <n v="11"/>
    <m/>
    <m/>
    <x v="0"/>
    <x v="2"/>
    <x v="0"/>
    <n v="0"/>
    <x v="0"/>
  </r>
  <r>
    <s v="SMU"/>
    <x v="5"/>
    <x v="10"/>
    <n v="9"/>
    <n v="110"/>
    <n v="12.22"/>
    <m/>
    <m/>
    <x v="0"/>
    <x v="2"/>
    <x v="0"/>
    <n v="0"/>
    <x v="0"/>
  </r>
  <r>
    <s v="San Jose St"/>
    <x v="4"/>
    <x v="10"/>
    <n v="2"/>
    <n v="6"/>
    <n v="3"/>
    <m/>
    <m/>
    <x v="0"/>
    <x v="2"/>
    <x v="0"/>
    <n v="0"/>
    <x v="0"/>
  </r>
  <r>
    <s v="Southern Miss"/>
    <x v="0"/>
    <x v="10"/>
    <n v="4"/>
    <n v="45"/>
    <n v="11.25"/>
    <m/>
    <m/>
    <x v="0"/>
    <x v="2"/>
    <x v="0"/>
    <n v="0"/>
    <x v="0"/>
  </r>
  <r>
    <s v="Stanford"/>
    <x v="5"/>
    <x v="10"/>
    <n v="3"/>
    <n v="7"/>
    <n v="2.33"/>
    <m/>
    <m/>
    <x v="0"/>
    <x v="2"/>
    <x v="0"/>
    <n v="0"/>
    <x v="0"/>
  </r>
  <r>
    <s v="Syracuse"/>
    <x v="5"/>
    <x v="10"/>
    <n v="5"/>
    <n v="134"/>
    <n v="26.8"/>
    <m/>
    <m/>
    <x v="0"/>
    <x v="2"/>
    <x v="0"/>
    <n v="0"/>
    <x v="0"/>
  </r>
  <r>
    <s v="Texas State"/>
    <x v="0"/>
    <x v="10"/>
    <n v="3"/>
    <n v="65"/>
    <n v="21.67"/>
    <m/>
    <m/>
    <x v="0"/>
    <x v="2"/>
    <x v="0"/>
    <n v="0"/>
    <x v="0"/>
  </r>
  <r>
    <s v="Toledo"/>
    <x v="3"/>
    <x v="10"/>
    <n v="2"/>
    <n v="18"/>
    <n v="9"/>
    <m/>
    <m/>
    <x v="0"/>
    <x v="2"/>
    <x v="0"/>
    <n v="0"/>
    <x v="0"/>
  </r>
  <r>
    <s v="Troy"/>
    <x v="0"/>
    <x v="10"/>
    <n v="4"/>
    <n v="76"/>
    <n v="19"/>
    <m/>
    <m/>
    <x v="0"/>
    <x v="2"/>
    <x v="0"/>
    <n v="0"/>
    <x v="0"/>
  </r>
  <r>
    <s v="Tulane"/>
    <x v="6"/>
    <x v="10"/>
    <n v="3"/>
    <n v="19"/>
    <n v="6.33"/>
    <m/>
    <m/>
    <x v="0"/>
    <x v="2"/>
    <x v="0"/>
    <n v="0"/>
    <x v="0"/>
  </r>
  <r>
    <s v="Tulsa"/>
    <x v="6"/>
    <x v="10"/>
    <n v="2"/>
    <n v="24"/>
    <n v="12"/>
    <m/>
    <m/>
    <x v="0"/>
    <x v="2"/>
    <x v="0"/>
    <n v="0"/>
    <x v="0"/>
  </r>
  <r>
    <s v="UAB"/>
    <x v="6"/>
    <x v="10"/>
    <n v="3"/>
    <n v="6"/>
    <n v="2"/>
    <m/>
    <m/>
    <x v="0"/>
    <x v="2"/>
    <x v="0"/>
    <n v="0"/>
    <x v="0"/>
  </r>
  <r>
    <s v="UCF"/>
    <x v="1"/>
    <x v="10"/>
    <n v="1"/>
    <n v="4"/>
    <n v="4"/>
    <m/>
    <m/>
    <x v="0"/>
    <x v="2"/>
    <x v="0"/>
    <n v="0"/>
    <x v="0"/>
  </r>
  <r>
    <s v="UCLA"/>
    <x v="8"/>
    <x v="10"/>
    <n v="5"/>
    <n v="12"/>
    <n v="2.4"/>
    <m/>
    <m/>
    <x v="0"/>
    <x v="2"/>
    <x v="0"/>
    <n v="0"/>
    <x v="0"/>
  </r>
  <r>
    <s v="UConn"/>
    <x v="10"/>
    <x v="10"/>
    <n v="7"/>
    <n v="102"/>
    <n v="14.57"/>
    <m/>
    <m/>
    <x v="0"/>
    <x v="2"/>
    <x v="0"/>
    <n v="0"/>
    <x v="0"/>
  </r>
  <r>
    <s v="UL Monroe"/>
    <x v="0"/>
    <x v="10"/>
    <n v="1"/>
    <n v="8"/>
    <n v="8"/>
    <m/>
    <m/>
    <x v="0"/>
    <x v="2"/>
    <x v="0"/>
    <n v="0"/>
    <x v="0"/>
  </r>
  <r>
    <s v="UMass"/>
    <x v="3"/>
    <x v="10"/>
    <n v="4"/>
    <n v="105"/>
    <n v="26.25"/>
    <m/>
    <m/>
    <x v="0"/>
    <x v="2"/>
    <x v="0"/>
    <n v="0"/>
    <x v="0"/>
  </r>
  <r>
    <s v="UNLV"/>
    <x v="4"/>
    <x v="10"/>
    <n v="9"/>
    <n v="132"/>
    <n v="14.67"/>
    <m/>
    <m/>
    <x v="0"/>
    <x v="2"/>
    <x v="0"/>
    <n v="0"/>
    <x v="0"/>
  </r>
  <r>
    <s v="UTEP"/>
    <x v="7"/>
    <x v="10"/>
    <n v="5"/>
    <n v="72"/>
    <n v="14.4"/>
    <m/>
    <m/>
    <x v="0"/>
    <x v="2"/>
    <x v="0"/>
    <n v="0"/>
    <x v="0"/>
  </r>
  <r>
    <s v="UTSA"/>
    <x v="6"/>
    <x v="10"/>
    <n v="2"/>
    <n v="31"/>
    <n v="15.5"/>
    <m/>
    <m/>
    <x v="0"/>
    <x v="2"/>
    <x v="0"/>
    <n v="0"/>
    <x v="0"/>
  </r>
  <r>
    <s v="W Michigan"/>
    <x v="3"/>
    <x v="10"/>
    <n v="6"/>
    <n v="94"/>
    <n v="15.67"/>
    <m/>
    <m/>
    <x v="0"/>
    <x v="2"/>
    <x v="0"/>
    <n v="0"/>
    <x v="0"/>
  </r>
  <r>
    <s v="WKU"/>
    <x v="7"/>
    <x v="10"/>
    <n v="2"/>
    <n v="16"/>
    <n v="8"/>
    <m/>
    <m/>
    <x v="0"/>
    <x v="2"/>
    <x v="0"/>
    <n v="0"/>
    <x v="0"/>
  </r>
  <r>
    <s v="Wake Forest"/>
    <x v="5"/>
    <x v="10"/>
    <n v="2"/>
    <n v="14"/>
    <n v="7"/>
    <m/>
    <m/>
    <x v="0"/>
    <x v="2"/>
    <x v="0"/>
    <n v="0"/>
    <x v="0"/>
  </r>
  <r>
    <s v="Washington"/>
    <x v="8"/>
    <x v="10"/>
    <n v="5"/>
    <n v="16"/>
    <n v="3.2"/>
    <m/>
    <m/>
    <x v="0"/>
    <x v="2"/>
    <x v="0"/>
    <n v="0"/>
    <x v="0"/>
  </r>
  <r>
    <s v="Wisconsin"/>
    <x v="8"/>
    <x v="10"/>
    <n v="5"/>
    <n v="33"/>
    <n v="6.6"/>
    <m/>
    <m/>
    <x v="0"/>
    <x v="2"/>
    <x v="0"/>
    <n v="0"/>
    <x v="0"/>
  </r>
  <r>
    <s v="Wyoming"/>
    <x v="4"/>
    <x v="10"/>
    <n v="3"/>
    <n v="123"/>
    <n v="41"/>
    <m/>
    <m/>
    <x v="0"/>
    <x v="2"/>
    <x v="0"/>
    <n v="0"/>
    <x v="0"/>
  </r>
  <r>
    <s v="Air Force"/>
    <x v="4"/>
    <x v="0"/>
    <n v="7"/>
    <n v="30"/>
    <n v="4.29"/>
    <m/>
    <m/>
    <x v="0"/>
    <x v="0"/>
    <x v="0"/>
    <n v="0"/>
    <x v="0"/>
  </r>
  <r>
    <s v="Akron"/>
    <x v="3"/>
    <x v="0"/>
    <n v="12"/>
    <n v="105"/>
    <n v="8.75"/>
    <m/>
    <m/>
    <x v="0"/>
    <x v="0"/>
    <x v="0"/>
    <n v="0"/>
    <x v="0"/>
  </r>
  <r>
    <s v="Arizona State"/>
    <x v="1"/>
    <x v="0"/>
    <n v="13"/>
    <n v="56"/>
    <n v="4.3099999999999996"/>
    <m/>
    <m/>
    <x v="0"/>
    <x v="0"/>
    <x v="0"/>
    <n v="0"/>
    <x v="0"/>
  </r>
  <r>
    <s v="Arkansas State"/>
    <x v="0"/>
    <x v="0"/>
    <n v="22"/>
    <n v="45"/>
    <n v="2.0499999999999998"/>
    <m/>
    <m/>
    <x v="0"/>
    <x v="0"/>
    <x v="0"/>
    <n v="0"/>
    <x v="0"/>
  </r>
  <r>
    <s v="Army"/>
    <x v="6"/>
    <x v="0"/>
    <n v="8"/>
    <n v="25"/>
    <n v="3.12"/>
    <m/>
    <m/>
    <x v="0"/>
    <x v="0"/>
    <x v="0"/>
    <n v="0"/>
    <x v="0"/>
  </r>
  <r>
    <s v="Auburn"/>
    <x v="2"/>
    <x v="0"/>
    <n v="22"/>
    <n v="55"/>
    <n v="2.5"/>
    <m/>
    <m/>
    <x v="0"/>
    <x v="0"/>
    <x v="0"/>
    <n v="0"/>
    <x v="0"/>
  </r>
  <r>
    <s v="Ball State"/>
    <x v="3"/>
    <x v="0"/>
    <n v="10"/>
    <n v="48"/>
    <n v="4.8"/>
    <m/>
    <m/>
    <x v="0"/>
    <x v="0"/>
    <x v="0"/>
    <n v="0"/>
    <x v="0"/>
  </r>
  <r>
    <s v="Boise State"/>
    <x v="4"/>
    <x v="0"/>
    <n v="22"/>
    <n v="105"/>
    <n v="4.7699999999999996"/>
    <m/>
    <m/>
    <x v="0"/>
    <x v="0"/>
    <x v="0"/>
    <n v="0"/>
    <x v="0"/>
  </r>
  <r>
    <s v="Boston College"/>
    <x v="5"/>
    <x v="0"/>
    <n v="15"/>
    <n v="50"/>
    <n v="3.33"/>
    <m/>
    <m/>
    <x v="0"/>
    <x v="0"/>
    <x v="0"/>
    <n v="0"/>
    <x v="0"/>
  </r>
  <r>
    <s v="Buffalo"/>
    <x v="3"/>
    <x v="0"/>
    <n v="11"/>
    <n v="25"/>
    <n v="2.27"/>
    <m/>
    <m/>
    <x v="0"/>
    <x v="0"/>
    <x v="0"/>
    <n v="0"/>
    <x v="0"/>
  </r>
  <r>
    <s v="C Michigan"/>
    <x v="3"/>
    <x v="0"/>
    <n v="16"/>
    <n v="60"/>
    <n v="3.75"/>
    <m/>
    <m/>
    <x v="0"/>
    <x v="0"/>
    <x v="0"/>
    <n v="0"/>
    <x v="0"/>
  </r>
  <r>
    <s v="Charlotte"/>
    <x v="6"/>
    <x v="0"/>
    <n v="15"/>
    <n v="53"/>
    <n v="3.53"/>
    <m/>
    <m/>
    <x v="0"/>
    <x v="0"/>
    <x v="0"/>
    <n v="0"/>
    <x v="0"/>
  </r>
  <r>
    <s v="Clemson"/>
    <x v="5"/>
    <x v="0"/>
    <n v="7"/>
    <n v="30"/>
    <n v="4.29"/>
    <m/>
    <m/>
    <x v="0"/>
    <x v="0"/>
    <x v="0"/>
    <n v="0"/>
    <x v="0"/>
  </r>
  <r>
    <s v="Duke"/>
    <x v="5"/>
    <x v="0"/>
    <n v="7"/>
    <n v="37"/>
    <n v="5.29"/>
    <m/>
    <m/>
    <x v="0"/>
    <x v="0"/>
    <x v="0"/>
    <n v="0"/>
    <x v="0"/>
  </r>
  <r>
    <s v="East Carolina"/>
    <x v="6"/>
    <x v="0"/>
    <n v="17"/>
    <n v="76"/>
    <n v="4.47"/>
    <m/>
    <m/>
    <x v="0"/>
    <x v="0"/>
    <x v="0"/>
    <n v="0"/>
    <x v="0"/>
  </r>
  <r>
    <s v="Florida"/>
    <x v="2"/>
    <x v="0"/>
    <n v="13"/>
    <n v="45"/>
    <n v="3.46"/>
    <m/>
    <m/>
    <x v="0"/>
    <x v="0"/>
    <x v="0"/>
    <n v="0"/>
    <x v="0"/>
  </r>
  <r>
    <s v="Florida State"/>
    <x v="5"/>
    <x v="0"/>
    <n v="9"/>
    <n v="30"/>
    <n v="3.33"/>
    <m/>
    <m/>
    <x v="0"/>
    <x v="0"/>
    <x v="0"/>
    <n v="0"/>
    <x v="0"/>
  </r>
  <r>
    <s v="Fresno State"/>
    <x v="4"/>
    <x v="0"/>
    <n v="14"/>
    <n v="74"/>
    <n v="5.29"/>
    <m/>
    <m/>
    <x v="0"/>
    <x v="0"/>
    <x v="0"/>
    <n v="0"/>
    <x v="0"/>
  </r>
  <r>
    <s v="Georgia State"/>
    <x v="0"/>
    <x v="0"/>
    <n v="23"/>
    <n v="104"/>
    <n v="4.5199999999999996"/>
    <m/>
    <m/>
    <x v="0"/>
    <x v="0"/>
    <x v="0"/>
    <n v="0"/>
    <x v="0"/>
  </r>
  <r>
    <s v="Hawai'i"/>
    <x v="4"/>
    <x v="0"/>
    <n v="14"/>
    <n v="56"/>
    <n v="4"/>
    <m/>
    <m/>
    <x v="0"/>
    <x v="0"/>
    <x v="0"/>
    <n v="0"/>
    <x v="0"/>
  </r>
  <r>
    <s v="Houston"/>
    <x v="1"/>
    <x v="0"/>
    <n v="17"/>
    <n v="45"/>
    <n v="2.65"/>
    <m/>
    <m/>
    <x v="0"/>
    <x v="0"/>
    <x v="0"/>
    <n v="0"/>
    <x v="0"/>
  </r>
  <r>
    <s v="Illinois"/>
    <x v="8"/>
    <x v="0"/>
    <n v="12"/>
    <n v="50"/>
    <n v="4.17"/>
    <m/>
    <m/>
    <x v="0"/>
    <x v="0"/>
    <x v="0"/>
    <n v="0"/>
    <x v="0"/>
  </r>
  <r>
    <s v="Iowa State"/>
    <x v="1"/>
    <x v="0"/>
    <n v="8"/>
    <n v="39"/>
    <n v="4.88"/>
    <m/>
    <m/>
    <x v="0"/>
    <x v="0"/>
    <x v="0"/>
    <n v="0"/>
    <x v="0"/>
  </r>
  <r>
    <s v="J Madison"/>
    <x v="0"/>
    <x v="0"/>
    <n v="7"/>
    <n v="25"/>
    <n v="3.57"/>
    <m/>
    <m/>
    <x v="0"/>
    <x v="0"/>
    <x v="0"/>
    <n v="0"/>
    <x v="0"/>
  </r>
  <r>
    <s v="Kansas"/>
    <x v="1"/>
    <x v="0"/>
    <n v="9"/>
    <n v="44"/>
    <n v="4.8899999999999997"/>
    <m/>
    <m/>
    <x v="0"/>
    <x v="0"/>
    <x v="0"/>
    <n v="0"/>
    <x v="0"/>
  </r>
  <r>
    <s v="Kansas State"/>
    <x v="1"/>
    <x v="0"/>
    <n v="3"/>
    <n v="10"/>
    <n v="3.33"/>
    <m/>
    <m/>
    <x v="0"/>
    <x v="0"/>
    <x v="0"/>
    <n v="0"/>
    <x v="0"/>
  </r>
  <r>
    <s v="Kent State"/>
    <x v="3"/>
    <x v="0"/>
    <n v="14"/>
    <n v="58"/>
    <n v="4.1399999999999997"/>
    <m/>
    <m/>
    <x v="0"/>
    <x v="0"/>
    <x v="0"/>
    <n v="0"/>
    <x v="0"/>
  </r>
  <r>
    <s v="LSU"/>
    <x v="2"/>
    <x v="0"/>
    <n v="19"/>
    <n v="64"/>
    <n v="3.37"/>
    <m/>
    <m/>
    <x v="0"/>
    <x v="0"/>
    <x v="0"/>
    <n v="0"/>
    <x v="0"/>
  </r>
  <r>
    <s v="Liberty"/>
    <x v="7"/>
    <x v="0"/>
    <n v="8"/>
    <n v="35"/>
    <n v="4.38"/>
    <m/>
    <m/>
    <x v="0"/>
    <x v="0"/>
    <x v="0"/>
    <n v="0"/>
    <x v="0"/>
  </r>
  <r>
    <s v="Louisiana"/>
    <x v="0"/>
    <x v="0"/>
    <n v="16"/>
    <n v="76"/>
    <n v="4.75"/>
    <m/>
    <m/>
    <x v="0"/>
    <x v="0"/>
    <x v="0"/>
    <n v="0"/>
    <x v="0"/>
  </r>
  <r>
    <s v="MTSU"/>
    <x v="7"/>
    <x v="0"/>
    <n v="6"/>
    <n v="25"/>
    <n v="4.17"/>
    <m/>
    <m/>
    <x v="0"/>
    <x v="0"/>
    <x v="0"/>
    <n v="0"/>
    <x v="0"/>
  </r>
  <r>
    <s v="Maryland"/>
    <x v="8"/>
    <x v="0"/>
    <n v="9"/>
    <n v="40"/>
    <n v="4.4400000000000004"/>
    <m/>
    <m/>
    <x v="0"/>
    <x v="0"/>
    <x v="0"/>
    <n v="0"/>
    <x v="0"/>
  </r>
  <r>
    <s v="Memphis"/>
    <x v="6"/>
    <x v="0"/>
    <n v="19"/>
    <n v="94"/>
    <n v="4.95"/>
    <m/>
    <m/>
    <x v="0"/>
    <x v="0"/>
    <x v="0"/>
    <n v="0"/>
    <x v="0"/>
  </r>
  <r>
    <s v="Michigan State"/>
    <x v="8"/>
    <x v="0"/>
    <n v="13"/>
    <n v="60"/>
    <n v="4.62"/>
    <m/>
    <m/>
    <x v="0"/>
    <x v="0"/>
    <x v="0"/>
    <n v="0"/>
    <x v="0"/>
  </r>
  <r>
    <s v="Minnesota"/>
    <x v="8"/>
    <x v="0"/>
    <n v="7"/>
    <n v="20"/>
    <n v="2.86"/>
    <m/>
    <m/>
    <x v="0"/>
    <x v="0"/>
    <x v="0"/>
    <n v="0"/>
    <x v="0"/>
  </r>
  <r>
    <s v="Mississippi State"/>
    <x v="2"/>
    <x v="0"/>
    <n v="15"/>
    <n v="60"/>
    <n v="4"/>
    <m/>
    <m/>
    <x v="0"/>
    <x v="0"/>
    <x v="0"/>
    <n v="0"/>
    <x v="0"/>
  </r>
  <r>
    <s v="N Texas"/>
    <x v="6"/>
    <x v="0"/>
    <n v="13"/>
    <n v="50"/>
    <n v="3.85"/>
    <m/>
    <m/>
    <x v="0"/>
    <x v="0"/>
    <x v="0"/>
    <n v="0"/>
    <x v="0"/>
  </r>
  <r>
    <s v="NC State"/>
    <x v="5"/>
    <x v="0"/>
    <n v="9"/>
    <n v="38"/>
    <n v="4.22"/>
    <m/>
    <m/>
    <x v="0"/>
    <x v="0"/>
    <x v="0"/>
    <n v="0"/>
    <x v="0"/>
  </r>
  <r>
    <s v="Navy"/>
    <x v="6"/>
    <x v="0"/>
    <n v="15"/>
    <n v="71"/>
    <n v="4.7300000000000004"/>
    <m/>
    <m/>
    <x v="0"/>
    <x v="0"/>
    <x v="0"/>
    <n v="0"/>
    <x v="0"/>
  </r>
  <r>
    <s v="Nebraska"/>
    <x v="8"/>
    <x v="0"/>
    <n v="7"/>
    <n v="34"/>
    <n v="4.8600000000000003"/>
    <m/>
    <m/>
    <x v="0"/>
    <x v="0"/>
    <x v="0"/>
    <n v="0"/>
    <x v="0"/>
  </r>
  <r>
    <s v="Nevada"/>
    <x v="4"/>
    <x v="0"/>
    <n v="10"/>
    <n v="49"/>
    <n v="4.9000000000000004"/>
    <m/>
    <m/>
    <x v="0"/>
    <x v="0"/>
    <x v="0"/>
    <n v="0"/>
    <x v="0"/>
  </r>
  <r>
    <s v="New Mexico"/>
    <x v="4"/>
    <x v="0"/>
    <n v="10"/>
    <n v="49"/>
    <n v="4.9000000000000004"/>
    <m/>
    <m/>
    <x v="0"/>
    <x v="0"/>
    <x v="0"/>
    <n v="0"/>
    <x v="0"/>
  </r>
  <r>
    <s v="New Mexico State"/>
    <x v="7"/>
    <x v="0"/>
    <n v="18"/>
    <n v="86"/>
    <n v="4.78"/>
    <m/>
    <m/>
    <x v="0"/>
    <x v="0"/>
    <x v="0"/>
    <n v="0"/>
    <x v="0"/>
  </r>
  <r>
    <s v="North Carolina"/>
    <x v="5"/>
    <x v="0"/>
    <n v="10"/>
    <n v="37"/>
    <n v="3.7"/>
    <m/>
    <m/>
    <x v="0"/>
    <x v="0"/>
    <x v="0"/>
    <n v="0"/>
    <x v="0"/>
  </r>
  <r>
    <s v="Northwestern"/>
    <x v="8"/>
    <x v="0"/>
    <n v="6"/>
    <n v="20"/>
    <n v="3.33"/>
    <m/>
    <m/>
    <x v="0"/>
    <x v="0"/>
    <x v="0"/>
    <n v="0"/>
    <x v="0"/>
  </r>
  <r>
    <s v="ODU"/>
    <x v="0"/>
    <x v="0"/>
    <n v="7"/>
    <n v="25"/>
    <n v="3.57"/>
    <m/>
    <m/>
    <x v="0"/>
    <x v="0"/>
    <x v="0"/>
    <n v="0"/>
    <x v="0"/>
  </r>
  <r>
    <s v="Ohio"/>
    <x v="3"/>
    <x v="0"/>
    <n v="16"/>
    <n v="60"/>
    <n v="3.75"/>
    <m/>
    <m/>
    <x v="0"/>
    <x v="0"/>
    <x v="0"/>
    <n v="0"/>
    <x v="0"/>
  </r>
  <r>
    <s v="Oklahoma State"/>
    <x v="1"/>
    <x v="0"/>
    <n v="10"/>
    <n v="25"/>
    <n v="2.5"/>
    <m/>
    <m/>
    <x v="0"/>
    <x v="0"/>
    <x v="0"/>
    <n v="0"/>
    <x v="0"/>
  </r>
  <r>
    <s v="Penn State"/>
    <x v="8"/>
    <x v="0"/>
    <n v="9"/>
    <n v="25"/>
    <n v="2.78"/>
    <m/>
    <m/>
    <x v="0"/>
    <x v="0"/>
    <x v="0"/>
    <n v="0"/>
    <x v="0"/>
  </r>
  <r>
    <s v="Rice"/>
    <x v="6"/>
    <x v="0"/>
    <n v="8"/>
    <n v="35"/>
    <n v="4.38"/>
    <m/>
    <m/>
    <x v="0"/>
    <x v="0"/>
    <x v="0"/>
    <n v="0"/>
    <x v="0"/>
  </r>
  <r>
    <s v="Rutgers"/>
    <x v="8"/>
    <x v="0"/>
    <n v="8"/>
    <n v="31"/>
    <n v="3.88"/>
    <m/>
    <m/>
    <x v="0"/>
    <x v="0"/>
    <x v="0"/>
    <n v="0"/>
    <x v="0"/>
  </r>
  <r>
    <s v="S Alabama"/>
    <x v="0"/>
    <x v="0"/>
    <n v="16"/>
    <n v="55"/>
    <n v="3.44"/>
    <m/>
    <m/>
    <x v="0"/>
    <x v="0"/>
    <x v="0"/>
    <n v="0"/>
    <x v="0"/>
  </r>
  <r>
    <s v="San Jose St"/>
    <x v="4"/>
    <x v="0"/>
    <n v="14"/>
    <n v="105"/>
    <n v="7.5"/>
    <m/>
    <m/>
    <x v="0"/>
    <x v="0"/>
    <x v="0"/>
    <n v="0"/>
    <x v="0"/>
  </r>
  <r>
    <s v="South Carolina"/>
    <x v="2"/>
    <x v="0"/>
    <n v="23"/>
    <n v="108"/>
    <n v="4.7"/>
    <m/>
    <m/>
    <x v="0"/>
    <x v="0"/>
    <x v="0"/>
    <n v="0"/>
    <x v="0"/>
  </r>
  <r>
    <s v="Stanford"/>
    <x v="5"/>
    <x v="0"/>
    <n v="10"/>
    <n v="40"/>
    <n v="4"/>
    <m/>
    <m/>
    <x v="0"/>
    <x v="0"/>
    <x v="0"/>
    <n v="0"/>
    <x v="0"/>
  </r>
  <r>
    <s v="TCU"/>
    <x v="1"/>
    <x v="0"/>
    <n v="15"/>
    <n v="65"/>
    <n v="4.33"/>
    <m/>
    <m/>
    <x v="0"/>
    <x v="0"/>
    <x v="0"/>
    <n v="0"/>
    <x v="0"/>
  </r>
  <r>
    <s v="Texas State"/>
    <x v="0"/>
    <x v="0"/>
    <n v="10"/>
    <n v="35"/>
    <n v="3.5"/>
    <m/>
    <m/>
    <x v="0"/>
    <x v="0"/>
    <x v="0"/>
    <n v="0"/>
    <x v="0"/>
  </r>
  <r>
    <s v="Toledo"/>
    <x v="3"/>
    <x v="0"/>
    <n v="14"/>
    <n v="69"/>
    <n v="4.93"/>
    <m/>
    <m/>
    <x v="0"/>
    <x v="0"/>
    <x v="0"/>
    <n v="0"/>
    <x v="0"/>
  </r>
  <r>
    <s v="Troy"/>
    <x v="0"/>
    <x v="0"/>
    <n v="10"/>
    <n v="45"/>
    <n v="4.5"/>
    <m/>
    <m/>
    <x v="0"/>
    <x v="0"/>
    <x v="0"/>
    <n v="0"/>
    <x v="0"/>
  </r>
  <r>
    <s v="Tulane"/>
    <x v="6"/>
    <x v="0"/>
    <n v="14"/>
    <n v="59"/>
    <n v="4.21"/>
    <m/>
    <m/>
    <x v="0"/>
    <x v="0"/>
    <x v="0"/>
    <n v="0"/>
    <x v="0"/>
  </r>
  <r>
    <s v="UAB"/>
    <x v="6"/>
    <x v="0"/>
    <n v="17"/>
    <n v="82"/>
    <n v="4.82"/>
    <m/>
    <m/>
    <x v="0"/>
    <x v="0"/>
    <x v="0"/>
    <n v="0"/>
    <x v="0"/>
  </r>
  <r>
    <s v="UCF"/>
    <x v="1"/>
    <x v="0"/>
    <n v="20"/>
    <n v="90"/>
    <n v="4.5"/>
    <m/>
    <m/>
    <x v="0"/>
    <x v="0"/>
    <x v="0"/>
    <n v="0"/>
    <x v="0"/>
  </r>
  <r>
    <s v="UCLA"/>
    <x v="8"/>
    <x v="0"/>
    <n v="22"/>
    <n v="61"/>
    <n v="2.77"/>
    <m/>
    <m/>
    <x v="0"/>
    <x v="0"/>
    <x v="0"/>
    <n v="0"/>
    <x v="0"/>
  </r>
  <r>
    <s v="UL Monroe"/>
    <x v="0"/>
    <x v="0"/>
    <n v="11"/>
    <n v="28"/>
    <n v="2.5499999999999998"/>
    <m/>
    <m/>
    <x v="0"/>
    <x v="0"/>
    <x v="0"/>
    <n v="0"/>
    <x v="0"/>
  </r>
  <r>
    <s v="UMass"/>
    <x v="3"/>
    <x v="0"/>
    <n v="17"/>
    <n v="57"/>
    <n v="3.35"/>
    <m/>
    <m/>
    <x v="0"/>
    <x v="0"/>
    <x v="0"/>
    <n v="0"/>
    <x v="0"/>
  </r>
  <r>
    <s v="UNLV"/>
    <x v="4"/>
    <x v="0"/>
    <n v="13"/>
    <n v="56"/>
    <n v="4.3099999999999996"/>
    <m/>
    <m/>
    <x v="0"/>
    <x v="0"/>
    <x v="0"/>
    <n v="0"/>
    <x v="0"/>
  </r>
  <r>
    <s v="UTEP"/>
    <x v="7"/>
    <x v="0"/>
    <n v="4"/>
    <n v="17"/>
    <n v="4.25"/>
    <m/>
    <m/>
    <x v="0"/>
    <x v="0"/>
    <x v="0"/>
    <n v="0"/>
    <x v="0"/>
  </r>
  <r>
    <s v="UTSA"/>
    <x v="6"/>
    <x v="0"/>
    <n v="15"/>
    <n v="78"/>
    <n v="5.2"/>
    <m/>
    <m/>
    <x v="0"/>
    <x v="0"/>
    <x v="0"/>
    <n v="0"/>
    <x v="0"/>
  </r>
  <r>
    <s v="Utah State"/>
    <x v="4"/>
    <x v="0"/>
    <n v="10"/>
    <n v="37"/>
    <n v="3.7"/>
    <m/>
    <m/>
    <x v="0"/>
    <x v="0"/>
    <x v="0"/>
    <n v="0"/>
    <x v="0"/>
  </r>
  <r>
    <s v="Virginia Tech"/>
    <x v="5"/>
    <x v="0"/>
    <n v="16"/>
    <n v="70"/>
    <n v="4.38"/>
    <m/>
    <m/>
    <x v="0"/>
    <x v="0"/>
    <x v="0"/>
    <n v="0"/>
    <x v="0"/>
  </r>
  <r>
    <s v="W Michigan"/>
    <x v="3"/>
    <x v="0"/>
    <n v="4"/>
    <n v="15"/>
    <n v="3.75"/>
    <m/>
    <m/>
    <x v="0"/>
    <x v="0"/>
    <x v="0"/>
    <n v="0"/>
    <x v="0"/>
  </r>
  <r>
    <s v="WKU"/>
    <x v="7"/>
    <x v="0"/>
    <n v="6"/>
    <n v="29"/>
    <n v="4.83"/>
    <m/>
    <m/>
    <x v="0"/>
    <x v="0"/>
    <x v="0"/>
    <n v="0"/>
    <x v="0"/>
  </r>
  <r>
    <s v="Wake Forest"/>
    <x v="5"/>
    <x v="0"/>
    <n v="15"/>
    <n v="70"/>
    <n v="4.67"/>
    <m/>
    <m/>
    <x v="0"/>
    <x v="0"/>
    <x v="0"/>
    <n v="0"/>
    <x v="0"/>
  </r>
  <r>
    <s v="Washington"/>
    <x v="8"/>
    <x v="0"/>
    <n v="15"/>
    <n v="70"/>
    <n v="4.67"/>
    <m/>
    <m/>
    <x v="0"/>
    <x v="0"/>
    <x v="0"/>
    <n v="0"/>
    <x v="0"/>
  </r>
  <r>
    <s v="Washington State"/>
    <x v="9"/>
    <x v="0"/>
    <n v="17"/>
    <n v="74"/>
    <n v="4.3499999999999996"/>
    <m/>
    <m/>
    <x v="0"/>
    <x v="0"/>
    <x v="0"/>
    <n v="0"/>
    <x v="0"/>
  </r>
  <r>
    <s v="Wyoming"/>
    <x v="4"/>
    <x v="0"/>
    <n v="17"/>
    <n v="61"/>
    <n v="3.59"/>
    <m/>
    <m/>
    <x v="0"/>
    <x v="0"/>
    <x v="0"/>
    <n v="0"/>
    <x v="0"/>
  </r>
  <r>
    <s v="Air Force"/>
    <x v="4"/>
    <x v="2"/>
    <n v="3"/>
    <n v="11"/>
    <n v="3.67"/>
    <m/>
    <m/>
    <x v="0"/>
    <x v="0"/>
    <x v="0"/>
    <n v="0"/>
    <x v="0"/>
  </r>
  <r>
    <s v="Akron"/>
    <x v="3"/>
    <x v="2"/>
    <n v="1"/>
    <n v="49"/>
    <n v="49"/>
    <m/>
    <m/>
    <x v="0"/>
    <x v="0"/>
    <x v="0"/>
    <n v="0"/>
    <x v="0"/>
  </r>
  <r>
    <s v="App State"/>
    <x v="0"/>
    <x v="2"/>
    <n v="2"/>
    <n v="13"/>
    <n v="6.5"/>
    <m/>
    <m/>
    <x v="0"/>
    <x v="0"/>
    <x v="0"/>
    <n v="0"/>
    <x v="0"/>
  </r>
  <r>
    <s v="Arizona State"/>
    <x v="1"/>
    <x v="2"/>
    <n v="2"/>
    <n v="9"/>
    <n v="4.5"/>
    <m/>
    <m/>
    <x v="0"/>
    <x v="0"/>
    <x v="0"/>
    <n v="0"/>
    <x v="0"/>
  </r>
  <r>
    <s v="Arkansas"/>
    <x v="2"/>
    <x v="2"/>
    <n v="2"/>
    <n v="16"/>
    <n v="8"/>
    <m/>
    <m/>
    <x v="0"/>
    <x v="0"/>
    <x v="0"/>
    <n v="0"/>
    <x v="0"/>
  </r>
  <r>
    <s v="Arkansas State"/>
    <x v="0"/>
    <x v="2"/>
    <n v="3"/>
    <n v="47"/>
    <n v="15.67"/>
    <m/>
    <m/>
    <x v="0"/>
    <x v="0"/>
    <x v="0"/>
    <n v="0"/>
    <x v="0"/>
  </r>
  <r>
    <s v="Army"/>
    <x v="6"/>
    <x v="2"/>
    <n v="1"/>
    <n v="16"/>
    <n v="16"/>
    <m/>
    <m/>
    <x v="0"/>
    <x v="0"/>
    <x v="0"/>
    <n v="0"/>
    <x v="0"/>
  </r>
  <r>
    <s v="Auburn"/>
    <x v="2"/>
    <x v="2"/>
    <n v="2"/>
    <n v="39"/>
    <n v="19.5"/>
    <m/>
    <m/>
    <x v="0"/>
    <x v="0"/>
    <x v="0"/>
    <n v="0"/>
    <x v="0"/>
  </r>
  <r>
    <s v="Baylor"/>
    <x v="1"/>
    <x v="2"/>
    <n v="1"/>
    <n v="2"/>
    <n v="2"/>
    <m/>
    <m/>
    <x v="0"/>
    <x v="0"/>
    <x v="0"/>
    <n v="0"/>
    <x v="0"/>
  </r>
  <r>
    <s v="Bowling Green"/>
    <x v="3"/>
    <x v="2"/>
    <n v="1"/>
    <n v="2"/>
    <n v="2"/>
    <m/>
    <m/>
    <x v="0"/>
    <x v="0"/>
    <x v="0"/>
    <n v="0"/>
    <x v="0"/>
  </r>
  <r>
    <s v="California"/>
    <x v="5"/>
    <x v="2"/>
    <n v="2"/>
    <n v="13"/>
    <n v="6.5"/>
    <m/>
    <m/>
    <x v="0"/>
    <x v="0"/>
    <x v="0"/>
    <n v="0"/>
    <x v="0"/>
  </r>
  <r>
    <s v="Coastal Carolina"/>
    <x v="0"/>
    <x v="2"/>
    <n v="2"/>
    <n v="47"/>
    <n v="23.5"/>
    <m/>
    <m/>
    <x v="0"/>
    <x v="0"/>
    <x v="0"/>
    <n v="0"/>
    <x v="0"/>
  </r>
  <r>
    <s v="Colorado"/>
    <x v="1"/>
    <x v="2"/>
    <n v="1"/>
    <n v="2"/>
    <n v="2"/>
    <m/>
    <m/>
    <x v="0"/>
    <x v="0"/>
    <x v="0"/>
    <n v="0"/>
    <x v="0"/>
  </r>
  <r>
    <s v="Colorado State"/>
    <x v="4"/>
    <x v="2"/>
    <n v="2"/>
    <n v="7"/>
    <n v="3.5"/>
    <m/>
    <m/>
    <x v="0"/>
    <x v="0"/>
    <x v="0"/>
    <n v="0"/>
    <x v="0"/>
  </r>
  <r>
    <s v="Delaware"/>
    <x v="7"/>
    <x v="2"/>
    <n v="1"/>
    <n v="7"/>
    <n v="7"/>
    <m/>
    <m/>
    <x v="0"/>
    <x v="0"/>
    <x v="0"/>
    <n v="0"/>
    <x v="0"/>
  </r>
  <r>
    <s v="East Carolina"/>
    <x v="6"/>
    <x v="2"/>
    <n v="2"/>
    <n v="8"/>
    <n v="4"/>
    <m/>
    <m/>
    <x v="0"/>
    <x v="0"/>
    <x v="0"/>
    <n v="0"/>
    <x v="0"/>
  </r>
  <r>
    <s v="Florida"/>
    <x v="2"/>
    <x v="2"/>
    <n v="1"/>
    <n v="20"/>
    <n v="20"/>
    <m/>
    <m/>
    <x v="0"/>
    <x v="0"/>
    <x v="0"/>
    <n v="0"/>
    <x v="0"/>
  </r>
  <r>
    <s v="Georgia State"/>
    <x v="0"/>
    <x v="2"/>
    <n v="2"/>
    <n v="76"/>
    <n v="38"/>
    <m/>
    <m/>
    <x v="0"/>
    <x v="0"/>
    <x v="0"/>
    <n v="0"/>
    <x v="0"/>
  </r>
  <r>
    <s v="Houston"/>
    <x v="1"/>
    <x v="2"/>
    <n v="1"/>
    <n v="3"/>
    <n v="3"/>
    <m/>
    <m/>
    <x v="0"/>
    <x v="0"/>
    <x v="0"/>
    <n v="0"/>
    <x v="0"/>
  </r>
  <r>
    <s v="Illinois"/>
    <x v="8"/>
    <x v="2"/>
    <n v="1"/>
    <n v="8"/>
    <n v="8"/>
    <m/>
    <m/>
    <x v="0"/>
    <x v="0"/>
    <x v="0"/>
    <n v="0"/>
    <x v="0"/>
  </r>
  <r>
    <s v="Iowa State"/>
    <x v="1"/>
    <x v="2"/>
    <n v="2"/>
    <n v="26"/>
    <n v="13"/>
    <m/>
    <m/>
    <x v="0"/>
    <x v="0"/>
    <x v="0"/>
    <n v="0"/>
    <x v="0"/>
  </r>
  <r>
    <s v="J Madison"/>
    <x v="0"/>
    <x v="2"/>
    <n v="2"/>
    <n v="13"/>
    <n v="6.5"/>
    <m/>
    <m/>
    <x v="0"/>
    <x v="0"/>
    <x v="0"/>
    <n v="0"/>
    <x v="0"/>
  </r>
  <r>
    <s v="Jacksonville State"/>
    <x v="7"/>
    <x v="2"/>
    <n v="2"/>
    <n v="9"/>
    <n v="4.5"/>
    <m/>
    <m/>
    <x v="0"/>
    <x v="0"/>
    <x v="0"/>
    <n v="0"/>
    <x v="0"/>
  </r>
  <r>
    <s v="Kansas"/>
    <x v="1"/>
    <x v="2"/>
    <n v="1"/>
    <n v="1"/>
    <n v="1"/>
    <m/>
    <m/>
    <x v="0"/>
    <x v="0"/>
    <x v="0"/>
    <n v="0"/>
    <x v="0"/>
  </r>
  <r>
    <s v="Kansas State"/>
    <x v="1"/>
    <x v="2"/>
    <n v="1"/>
    <n v="7"/>
    <n v="7"/>
    <m/>
    <m/>
    <x v="0"/>
    <x v="0"/>
    <x v="0"/>
    <n v="0"/>
    <x v="0"/>
  </r>
  <r>
    <s v="Kennesaw State"/>
    <x v="7"/>
    <x v="2"/>
    <n v="4"/>
    <n v="51"/>
    <n v="12.75"/>
    <m/>
    <m/>
    <x v="0"/>
    <x v="0"/>
    <x v="0"/>
    <n v="0"/>
    <x v="0"/>
  </r>
  <r>
    <s v="Kent State"/>
    <x v="3"/>
    <x v="2"/>
    <n v="3"/>
    <n v="10"/>
    <n v="3.33"/>
    <m/>
    <m/>
    <x v="0"/>
    <x v="0"/>
    <x v="0"/>
    <n v="0"/>
    <x v="0"/>
  </r>
  <r>
    <s v="Kentucky"/>
    <x v="2"/>
    <x v="2"/>
    <n v="2"/>
    <n v="42"/>
    <n v="21"/>
    <m/>
    <m/>
    <x v="0"/>
    <x v="0"/>
    <x v="0"/>
    <n v="0"/>
    <x v="0"/>
  </r>
  <r>
    <s v="LSU"/>
    <x v="2"/>
    <x v="2"/>
    <n v="4"/>
    <n v="22"/>
    <n v="5.5"/>
    <m/>
    <m/>
    <x v="0"/>
    <x v="0"/>
    <x v="0"/>
    <n v="0"/>
    <x v="0"/>
  </r>
  <r>
    <s v="La Tech"/>
    <x v="7"/>
    <x v="2"/>
    <n v="1"/>
    <n v="39"/>
    <n v="39"/>
    <m/>
    <m/>
    <x v="0"/>
    <x v="0"/>
    <x v="0"/>
    <n v="0"/>
    <x v="0"/>
  </r>
  <r>
    <s v="Louisiana"/>
    <x v="0"/>
    <x v="2"/>
    <n v="2"/>
    <n v="17"/>
    <n v="8.5"/>
    <m/>
    <m/>
    <x v="0"/>
    <x v="0"/>
    <x v="0"/>
    <n v="0"/>
    <x v="0"/>
  </r>
  <r>
    <s v="MTSU"/>
    <x v="7"/>
    <x v="2"/>
    <n v="2"/>
    <n v="53"/>
    <n v="26.5"/>
    <m/>
    <m/>
    <x v="0"/>
    <x v="0"/>
    <x v="0"/>
    <n v="0"/>
    <x v="0"/>
  </r>
  <r>
    <s v="Marshall"/>
    <x v="0"/>
    <x v="2"/>
    <n v="5"/>
    <n v="36"/>
    <n v="7.2"/>
    <m/>
    <m/>
    <x v="0"/>
    <x v="0"/>
    <x v="0"/>
    <n v="0"/>
    <x v="0"/>
  </r>
  <r>
    <s v="Maryland"/>
    <x v="8"/>
    <x v="2"/>
    <n v="2"/>
    <n v="1"/>
    <n v="0.5"/>
    <m/>
    <m/>
    <x v="0"/>
    <x v="0"/>
    <x v="0"/>
    <n v="0"/>
    <x v="0"/>
  </r>
  <r>
    <s v="Miami (OH)"/>
    <x v="3"/>
    <x v="2"/>
    <n v="3"/>
    <n v="60"/>
    <n v="20"/>
    <m/>
    <m/>
    <x v="0"/>
    <x v="0"/>
    <x v="0"/>
    <n v="0"/>
    <x v="0"/>
  </r>
  <r>
    <s v="Minnesota"/>
    <x v="8"/>
    <x v="2"/>
    <n v="1"/>
    <n v="37"/>
    <n v="37"/>
    <m/>
    <m/>
    <x v="0"/>
    <x v="0"/>
    <x v="0"/>
    <n v="0"/>
    <x v="0"/>
  </r>
  <r>
    <s v="Mississippi State"/>
    <x v="2"/>
    <x v="2"/>
    <n v="5"/>
    <n v="102"/>
    <n v="20.399999999999999"/>
    <m/>
    <m/>
    <x v="0"/>
    <x v="0"/>
    <x v="0"/>
    <n v="0"/>
    <x v="0"/>
  </r>
  <r>
    <s v="N Illinois"/>
    <x v="3"/>
    <x v="2"/>
    <n v="1"/>
    <n v="41"/>
    <n v="41"/>
    <m/>
    <m/>
    <x v="0"/>
    <x v="0"/>
    <x v="0"/>
    <n v="0"/>
    <x v="0"/>
  </r>
  <r>
    <s v="NC State"/>
    <x v="5"/>
    <x v="2"/>
    <n v="2"/>
    <n v="8"/>
    <n v="4"/>
    <m/>
    <m/>
    <x v="0"/>
    <x v="0"/>
    <x v="0"/>
    <n v="0"/>
    <x v="0"/>
  </r>
  <r>
    <s v="Nebraska"/>
    <x v="8"/>
    <x v="2"/>
    <n v="1"/>
    <n v="40"/>
    <n v="40"/>
    <m/>
    <m/>
    <x v="0"/>
    <x v="0"/>
    <x v="0"/>
    <n v="0"/>
    <x v="0"/>
  </r>
  <r>
    <s v="Nevada"/>
    <x v="4"/>
    <x v="2"/>
    <n v="1"/>
    <n v="8"/>
    <n v="8"/>
    <m/>
    <m/>
    <x v="0"/>
    <x v="0"/>
    <x v="0"/>
    <n v="0"/>
    <x v="0"/>
  </r>
  <r>
    <s v="New Mexico"/>
    <x v="4"/>
    <x v="2"/>
    <n v="3"/>
    <n v="10"/>
    <n v="3.33"/>
    <m/>
    <m/>
    <x v="0"/>
    <x v="0"/>
    <x v="0"/>
    <n v="0"/>
    <x v="0"/>
  </r>
  <r>
    <s v="New Mexico State"/>
    <x v="7"/>
    <x v="2"/>
    <n v="4"/>
    <n v="30"/>
    <n v="7.5"/>
    <m/>
    <m/>
    <x v="0"/>
    <x v="0"/>
    <x v="0"/>
    <n v="0"/>
    <x v="0"/>
  </r>
  <r>
    <s v="North Carolina"/>
    <x v="5"/>
    <x v="2"/>
    <n v="3"/>
    <n v="57"/>
    <n v="19"/>
    <m/>
    <m/>
    <x v="0"/>
    <x v="0"/>
    <x v="0"/>
    <n v="0"/>
    <x v="0"/>
  </r>
  <r>
    <s v="Northwestern"/>
    <x v="8"/>
    <x v="2"/>
    <n v="3"/>
    <n v="6"/>
    <n v="2"/>
    <m/>
    <m/>
    <x v="0"/>
    <x v="0"/>
    <x v="0"/>
    <n v="0"/>
    <x v="0"/>
  </r>
  <r>
    <s v="ODU"/>
    <x v="0"/>
    <x v="2"/>
    <n v="2"/>
    <n v="32"/>
    <n v="16"/>
    <m/>
    <m/>
    <x v="0"/>
    <x v="0"/>
    <x v="0"/>
    <n v="0"/>
    <x v="0"/>
  </r>
  <r>
    <s v="Oklahoma State"/>
    <x v="1"/>
    <x v="2"/>
    <n v="1"/>
    <n v="2"/>
    <n v="2"/>
    <m/>
    <m/>
    <x v="0"/>
    <x v="0"/>
    <x v="0"/>
    <n v="0"/>
    <x v="0"/>
  </r>
  <r>
    <s v="Purdue"/>
    <x v="8"/>
    <x v="2"/>
    <n v="1"/>
    <n v="39"/>
    <n v="39"/>
    <m/>
    <m/>
    <x v="0"/>
    <x v="0"/>
    <x v="0"/>
    <n v="0"/>
    <x v="0"/>
  </r>
  <r>
    <s v="Rutgers"/>
    <x v="8"/>
    <x v="2"/>
    <n v="1"/>
    <n v="2"/>
    <n v="2"/>
    <m/>
    <m/>
    <x v="0"/>
    <x v="0"/>
    <x v="0"/>
    <n v="0"/>
    <x v="0"/>
  </r>
  <r>
    <s v="S Alabama"/>
    <x v="0"/>
    <x v="2"/>
    <n v="6"/>
    <n v="68"/>
    <n v="11.33"/>
    <m/>
    <m/>
    <x v="0"/>
    <x v="0"/>
    <x v="0"/>
    <n v="0"/>
    <x v="0"/>
  </r>
  <r>
    <s v="SMU"/>
    <x v="5"/>
    <x v="2"/>
    <n v="2"/>
    <n v="11"/>
    <n v="5.5"/>
    <m/>
    <m/>
    <x v="0"/>
    <x v="0"/>
    <x v="0"/>
    <n v="0"/>
    <x v="0"/>
  </r>
  <r>
    <s v="Sam Houston"/>
    <x v="7"/>
    <x v="2"/>
    <n v="1"/>
    <n v="45"/>
    <n v="45"/>
    <m/>
    <m/>
    <x v="0"/>
    <x v="0"/>
    <x v="0"/>
    <n v="0"/>
    <x v="0"/>
  </r>
  <r>
    <s v="San Diego State"/>
    <x v="4"/>
    <x v="2"/>
    <n v="2"/>
    <n v="51"/>
    <n v="25.5"/>
    <m/>
    <m/>
    <x v="0"/>
    <x v="0"/>
    <x v="0"/>
    <n v="0"/>
    <x v="0"/>
  </r>
  <r>
    <s v="San Jose St"/>
    <x v="4"/>
    <x v="2"/>
    <n v="1"/>
    <n v="48"/>
    <n v="48"/>
    <m/>
    <m/>
    <x v="0"/>
    <x v="0"/>
    <x v="0"/>
    <n v="0"/>
    <x v="0"/>
  </r>
  <r>
    <s v="TCU"/>
    <x v="1"/>
    <x v="2"/>
    <n v="1"/>
    <n v="48"/>
    <n v="48"/>
    <m/>
    <m/>
    <x v="0"/>
    <x v="0"/>
    <x v="0"/>
    <n v="0"/>
    <x v="0"/>
  </r>
  <r>
    <s v="Troy"/>
    <x v="0"/>
    <x v="2"/>
    <n v="2"/>
    <n v="73"/>
    <n v="36.5"/>
    <m/>
    <m/>
    <x v="0"/>
    <x v="0"/>
    <x v="0"/>
    <n v="0"/>
    <x v="0"/>
  </r>
  <r>
    <s v="UAB"/>
    <x v="6"/>
    <x v="2"/>
    <n v="3"/>
    <n v="48"/>
    <n v="16"/>
    <m/>
    <m/>
    <x v="0"/>
    <x v="0"/>
    <x v="0"/>
    <n v="0"/>
    <x v="0"/>
  </r>
  <r>
    <s v="UCF"/>
    <x v="1"/>
    <x v="2"/>
    <n v="2"/>
    <n v="43"/>
    <n v="21.5"/>
    <m/>
    <m/>
    <x v="0"/>
    <x v="0"/>
    <x v="0"/>
    <n v="0"/>
    <x v="0"/>
  </r>
  <r>
    <s v="UCLA"/>
    <x v="8"/>
    <x v="2"/>
    <n v="4"/>
    <n v="11"/>
    <n v="2.75"/>
    <m/>
    <m/>
    <x v="0"/>
    <x v="0"/>
    <x v="0"/>
    <n v="0"/>
    <x v="0"/>
  </r>
  <r>
    <s v="UConn"/>
    <x v="10"/>
    <x v="2"/>
    <n v="1"/>
    <n v="8"/>
    <n v="8"/>
    <m/>
    <m/>
    <x v="0"/>
    <x v="0"/>
    <x v="0"/>
    <n v="0"/>
    <x v="0"/>
  </r>
  <r>
    <s v="UL Monroe"/>
    <x v="0"/>
    <x v="2"/>
    <n v="4"/>
    <n v="81"/>
    <n v="20.25"/>
    <m/>
    <m/>
    <x v="0"/>
    <x v="0"/>
    <x v="0"/>
    <n v="0"/>
    <x v="0"/>
  </r>
  <r>
    <s v="UMass"/>
    <x v="3"/>
    <x v="2"/>
    <n v="3"/>
    <n v="35"/>
    <n v="11.67"/>
    <m/>
    <m/>
    <x v="0"/>
    <x v="0"/>
    <x v="0"/>
    <n v="0"/>
    <x v="0"/>
  </r>
  <r>
    <s v="UTSA"/>
    <x v="6"/>
    <x v="2"/>
    <n v="1"/>
    <n v="1"/>
    <n v="1"/>
    <m/>
    <m/>
    <x v="0"/>
    <x v="0"/>
    <x v="0"/>
    <n v="0"/>
    <x v="0"/>
  </r>
  <r>
    <s v="Utah State"/>
    <x v="4"/>
    <x v="2"/>
    <n v="4"/>
    <n v="18"/>
    <n v="4.5"/>
    <m/>
    <m/>
    <x v="0"/>
    <x v="0"/>
    <x v="0"/>
    <n v="0"/>
    <x v="0"/>
  </r>
  <r>
    <s v="W Michigan"/>
    <x v="3"/>
    <x v="2"/>
    <n v="1"/>
    <n v="35"/>
    <n v="35"/>
    <m/>
    <m/>
    <x v="0"/>
    <x v="0"/>
    <x v="0"/>
    <n v="0"/>
    <x v="0"/>
  </r>
  <r>
    <s v="WKU"/>
    <x v="7"/>
    <x v="2"/>
    <n v="2"/>
    <n v="12"/>
    <n v="6"/>
    <m/>
    <m/>
    <x v="0"/>
    <x v="0"/>
    <x v="0"/>
    <n v="0"/>
    <x v="0"/>
  </r>
  <r>
    <s v="Wake Forest"/>
    <x v="5"/>
    <x v="2"/>
    <n v="3"/>
    <n v="46"/>
    <n v="15.33"/>
    <m/>
    <m/>
    <x v="0"/>
    <x v="0"/>
    <x v="0"/>
    <n v="0"/>
    <x v="0"/>
  </r>
  <r>
    <s v="Washington"/>
    <x v="8"/>
    <x v="2"/>
    <n v="2"/>
    <n v="36"/>
    <n v="18"/>
    <m/>
    <m/>
    <x v="0"/>
    <x v="0"/>
    <x v="0"/>
    <n v="0"/>
    <x v="0"/>
  </r>
  <r>
    <s v="Washington State"/>
    <x v="9"/>
    <x v="2"/>
    <n v="3"/>
    <n v="28"/>
    <n v="9.33"/>
    <m/>
    <m/>
    <x v="0"/>
    <x v="0"/>
    <x v="0"/>
    <n v="0"/>
    <x v="0"/>
  </r>
  <r>
    <s v="West Virginia"/>
    <x v="1"/>
    <x v="2"/>
    <n v="1"/>
    <n v="28"/>
    <n v="28"/>
    <m/>
    <m/>
    <x v="0"/>
    <x v="0"/>
    <x v="0"/>
    <n v="0"/>
    <x v="0"/>
  </r>
  <r>
    <s v="Akron"/>
    <x v="3"/>
    <x v="1"/>
    <n v="6"/>
    <n v="20"/>
    <n v="3.33"/>
    <m/>
    <m/>
    <x v="0"/>
    <x v="0"/>
    <x v="0"/>
    <n v="0"/>
    <x v="0"/>
  </r>
  <r>
    <s v="App State"/>
    <x v="0"/>
    <x v="1"/>
    <n v="5"/>
    <n v="20"/>
    <n v="4"/>
    <m/>
    <m/>
    <x v="0"/>
    <x v="0"/>
    <x v="0"/>
    <n v="0"/>
    <x v="0"/>
  </r>
  <r>
    <s v="Arizona State"/>
    <x v="1"/>
    <x v="1"/>
    <n v="6"/>
    <n v="20"/>
    <n v="3.33"/>
    <m/>
    <m/>
    <x v="0"/>
    <x v="0"/>
    <x v="0"/>
    <n v="0"/>
    <x v="0"/>
  </r>
  <r>
    <s v="Arkansas"/>
    <x v="2"/>
    <x v="4"/>
    <n v="1"/>
    <n v="9"/>
    <n v="9"/>
    <m/>
    <m/>
    <x v="0"/>
    <x v="0"/>
    <x v="0"/>
    <n v="0"/>
    <x v="0"/>
  </r>
  <r>
    <s v="Auburn"/>
    <x v="2"/>
    <x v="1"/>
    <n v="4"/>
    <n v="15"/>
    <n v="3.75"/>
    <m/>
    <m/>
    <x v="0"/>
    <x v="0"/>
    <x v="0"/>
    <n v="0"/>
    <x v="0"/>
  </r>
  <r>
    <s v="Boise State"/>
    <x v="4"/>
    <x v="1"/>
    <n v="3"/>
    <n v="11"/>
    <n v="3.67"/>
    <m/>
    <m/>
    <x v="0"/>
    <x v="0"/>
    <x v="0"/>
    <n v="0"/>
    <x v="0"/>
  </r>
  <r>
    <s v="Bowling Green"/>
    <x v="3"/>
    <x v="1"/>
    <n v="7"/>
    <n v="33"/>
    <n v="4.71"/>
    <m/>
    <m/>
    <x v="0"/>
    <x v="0"/>
    <x v="0"/>
    <n v="0"/>
    <x v="0"/>
  </r>
  <r>
    <s v="Buffalo"/>
    <x v="3"/>
    <x v="1"/>
    <n v="3"/>
    <n v="10"/>
    <n v="3.33"/>
    <m/>
    <m/>
    <x v="0"/>
    <x v="0"/>
    <x v="0"/>
    <n v="0"/>
    <x v="0"/>
  </r>
  <r>
    <s v="C Michigan"/>
    <x v="3"/>
    <x v="1"/>
    <n v="3"/>
    <n v="10"/>
    <n v="3.33"/>
    <m/>
    <m/>
    <x v="0"/>
    <x v="0"/>
    <x v="0"/>
    <n v="0"/>
    <x v="0"/>
  </r>
  <r>
    <s v="Colorado"/>
    <x v="1"/>
    <x v="1"/>
    <n v="9"/>
    <n v="40"/>
    <n v="4.4400000000000004"/>
    <m/>
    <m/>
    <x v="0"/>
    <x v="0"/>
    <x v="0"/>
    <n v="0"/>
    <x v="0"/>
  </r>
  <r>
    <s v="Delaware"/>
    <x v="7"/>
    <x v="1"/>
    <n v="2"/>
    <n v="5"/>
    <n v="2.5"/>
    <m/>
    <m/>
    <x v="0"/>
    <x v="0"/>
    <x v="0"/>
    <n v="0"/>
    <x v="0"/>
  </r>
  <r>
    <s v="Duke"/>
    <x v="5"/>
    <x v="1"/>
    <n v="4"/>
    <n v="17"/>
    <n v="4.25"/>
    <m/>
    <m/>
    <x v="0"/>
    <x v="0"/>
    <x v="0"/>
    <n v="0"/>
    <x v="0"/>
  </r>
  <r>
    <s v="East Carolina"/>
    <x v="6"/>
    <x v="1"/>
    <n v="4"/>
    <n v="17"/>
    <n v="4.25"/>
    <m/>
    <m/>
    <x v="0"/>
    <x v="0"/>
    <x v="0"/>
    <n v="0"/>
    <x v="0"/>
  </r>
  <r>
    <s v="Georgia State"/>
    <x v="0"/>
    <x v="1"/>
    <n v="5"/>
    <n v="23"/>
    <n v="4.5999999999999996"/>
    <m/>
    <m/>
    <x v="0"/>
    <x v="0"/>
    <x v="0"/>
    <n v="0"/>
    <x v="0"/>
  </r>
  <r>
    <s v="Hawai'i"/>
    <x v="4"/>
    <x v="1"/>
    <n v="3"/>
    <n v="12"/>
    <n v="4"/>
    <m/>
    <m/>
    <x v="0"/>
    <x v="0"/>
    <x v="0"/>
    <n v="0"/>
    <x v="0"/>
  </r>
  <r>
    <s v="Kansas"/>
    <x v="1"/>
    <x v="1"/>
    <n v="2"/>
    <n v="9"/>
    <n v="4.5"/>
    <m/>
    <m/>
    <x v="0"/>
    <x v="0"/>
    <x v="0"/>
    <n v="0"/>
    <x v="0"/>
  </r>
  <r>
    <s v="Kansas"/>
    <x v="1"/>
    <x v="4"/>
    <n v="1"/>
    <n v="3"/>
    <n v="3"/>
    <m/>
    <m/>
    <x v="0"/>
    <x v="0"/>
    <x v="0"/>
    <n v="0"/>
    <x v="0"/>
  </r>
  <r>
    <s v="Kansas State"/>
    <x v="1"/>
    <x v="1"/>
    <n v="3"/>
    <n v="10"/>
    <n v="3.33"/>
    <m/>
    <m/>
    <x v="0"/>
    <x v="0"/>
    <x v="0"/>
    <n v="0"/>
    <x v="0"/>
  </r>
  <r>
    <s v="Kent State"/>
    <x v="3"/>
    <x v="1"/>
    <n v="6"/>
    <n v="25"/>
    <n v="4.17"/>
    <m/>
    <m/>
    <x v="0"/>
    <x v="0"/>
    <x v="0"/>
    <n v="0"/>
    <x v="0"/>
  </r>
  <r>
    <s v="Louisiana"/>
    <x v="0"/>
    <x v="4"/>
    <n v="1"/>
    <n v="22"/>
    <n v="22"/>
    <m/>
    <m/>
    <x v="0"/>
    <x v="0"/>
    <x v="0"/>
    <n v="0"/>
    <x v="0"/>
  </r>
  <r>
    <s v="Minnesota"/>
    <x v="8"/>
    <x v="1"/>
    <n v="3"/>
    <n v="10"/>
    <n v="3.33"/>
    <m/>
    <m/>
    <x v="0"/>
    <x v="0"/>
    <x v="0"/>
    <n v="0"/>
    <x v="0"/>
  </r>
  <r>
    <s v="N Illinois"/>
    <x v="3"/>
    <x v="1"/>
    <n v="5"/>
    <n v="20"/>
    <n v="4"/>
    <m/>
    <m/>
    <x v="0"/>
    <x v="0"/>
    <x v="0"/>
    <n v="0"/>
    <x v="0"/>
  </r>
  <r>
    <s v="Nebraska"/>
    <x v="8"/>
    <x v="1"/>
    <n v="3"/>
    <n v="9"/>
    <n v="3"/>
    <m/>
    <m/>
    <x v="0"/>
    <x v="0"/>
    <x v="0"/>
    <n v="0"/>
    <x v="0"/>
  </r>
  <r>
    <s v="Nebraska"/>
    <x v="8"/>
    <x v="4"/>
    <n v="1"/>
    <n v="3"/>
    <n v="3"/>
    <m/>
    <m/>
    <x v="0"/>
    <x v="0"/>
    <x v="0"/>
    <n v="0"/>
    <x v="0"/>
  </r>
  <r>
    <s v="New Mexico"/>
    <x v="4"/>
    <x v="4"/>
    <n v="1"/>
    <n v="4"/>
    <n v="4"/>
    <m/>
    <m/>
    <x v="0"/>
    <x v="0"/>
    <x v="0"/>
    <n v="0"/>
    <x v="0"/>
  </r>
  <r>
    <s v="North Carolina"/>
    <x v="5"/>
    <x v="1"/>
    <n v="2"/>
    <n v="5"/>
    <n v="2.5"/>
    <m/>
    <m/>
    <x v="0"/>
    <x v="0"/>
    <x v="0"/>
    <n v="0"/>
    <x v="0"/>
  </r>
  <r>
    <s v="North Carolina"/>
    <x v="5"/>
    <x v="4"/>
    <n v="1"/>
    <n v="3"/>
    <n v="3"/>
    <m/>
    <m/>
    <x v="0"/>
    <x v="0"/>
    <x v="0"/>
    <n v="0"/>
    <x v="0"/>
  </r>
  <r>
    <s v="Northwestern"/>
    <x v="8"/>
    <x v="1"/>
    <n v="2"/>
    <n v="5"/>
    <n v="2.5"/>
    <m/>
    <m/>
    <x v="0"/>
    <x v="0"/>
    <x v="0"/>
    <n v="0"/>
    <x v="0"/>
  </r>
  <r>
    <s v="Penn State"/>
    <x v="8"/>
    <x v="4"/>
    <n v="1"/>
    <n v="14"/>
    <n v="14"/>
    <m/>
    <m/>
    <x v="0"/>
    <x v="0"/>
    <x v="0"/>
    <n v="0"/>
    <x v="0"/>
  </r>
  <r>
    <s v="Sam Houston"/>
    <x v="7"/>
    <x v="4"/>
    <n v="1"/>
    <n v="46"/>
    <n v="46"/>
    <m/>
    <m/>
    <x v="0"/>
    <x v="0"/>
    <x v="0"/>
    <n v="0"/>
    <x v="0"/>
  </r>
  <r>
    <s v="San Diego State"/>
    <x v="4"/>
    <x v="1"/>
    <n v="3"/>
    <n v="10"/>
    <n v="3.33"/>
    <m/>
    <m/>
    <x v="0"/>
    <x v="0"/>
    <x v="0"/>
    <n v="0"/>
    <x v="0"/>
  </r>
  <r>
    <s v="San Jose St"/>
    <x v="4"/>
    <x v="1"/>
    <n v="2"/>
    <n v="6"/>
    <n v="3"/>
    <m/>
    <m/>
    <x v="0"/>
    <x v="0"/>
    <x v="0"/>
    <n v="0"/>
    <x v="0"/>
  </r>
  <r>
    <s v="Southern Miss"/>
    <x v="0"/>
    <x v="1"/>
    <n v="6"/>
    <n v="25"/>
    <n v="4.17"/>
    <m/>
    <m/>
    <x v="0"/>
    <x v="0"/>
    <x v="0"/>
    <n v="0"/>
    <x v="0"/>
  </r>
  <r>
    <s v="Stanford"/>
    <x v="5"/>
    <x v="1"/>
    <n v="6"/>
    <n v="20"/>
    <n v="3.33"/>
    <m/>
    <m/>
    <x v="0"/>
    <x v="0"/>
    <x v="0"/>
    <n v="0"/>
    <x v="0"/>
  </r>
  <r>
    <s v="Stanford"/>
    <x v="5"/>
    <x v="4"/>
    <n v="1"/>
    <n v="42"/>
    <n v="42"/>
    <m/>
    <m/>
    <x v="0"/>
    <x v="0"/>
    <x v="0"/>
    <n v="0"/>
    <x v="0"/>
  </r>
  <r>
    <s v="Syracuse"/>
    <x v="5"/>
    <x v="4"/>
    <n v="2"/>
    <n v="52"/>
    <n v="26"/>
    <m/>
    <m/>
    <x v="0"/>
    <x v="0"/>
    <x v="0"/>
    <n v="0"/>
    <x v="0"/>
  </r>
  <r>
    <s v="Tulsa"/>
    <x v="6"/>
    <x v="1"/>
    <n v="3"/>
    <n v="10"/>
    <n v="3.33"/>
    <m/>
    <m/>
    <x v="0"/>
    <x v="0"/>
    <x v="0"/>
    <n v="0"/>
    <x v="0"/>
  </r>
  <r>
    <s v="UAB"/>
    <x v="6"/>
    <x v="4"/>
    <n v="1"/>
    <n v="10"/>
    <n v="10"/>
    <m/>
    <m/>
    <x v="0"/>
    <x v="0"/>
    <x v="0"/>
    <n v="0"/>
    <x v="0"/>
  </r>
  <r>
    <s v="UCF"/>
    <x v="1"/>
    <x v="1"/>
    <n v="8"/>
    <n v="30"/>
    <n v="3.75"/>
    <m/>
    <m/>
    <x v="0"/>
    <x v="0"/>
    <x v="0"/>
    <n v="0"/>
    <x v="0"/>
  </r>
  <r>
    <s v="UL Monroe"/>
    <x v="0"/>
    <x v="1"/>
    <n v="4"/>
    <n v="15"/>
    <n v="3.75"/>
    <m/>
    <m/>
    <x v="0"/>
    <x v="0"/>
    <x v="0"/>
    <n v="0"/>
    <x v="0"/>
  </r>
  <r>
    <s v="USF"/>
    <x v="6"/>
    <x v="4"/>
    <n v="1"/>
    <n v="46"/>
    <n v="46"/>
    <m/>
    <m/>
    <x v="0"/>
    <x v="0"/>
    <x v="0"/>
    <n v="0"/>
    <x v="0"/>
  </r>
  <r>
    <s v="UTEP"/>
    <x v="7"/>
    <x v="1"/>
    <n v="3"/>
    <n v="5"/>
    <n v="1.67"/>
    <m/>
    <m/>
    <x v="0"/>
    <x v="0"/>
    <x v="0"/>
    <n v="0"/>
    <x v="0"/>
  </r>
  <r>
    <s v="W Michigan"/>
    <x v="3"/>
    <x v="1"/>
    <n v="3"/>
    <n v="10"/>
    <n v="3.33"/>
    <m/>
    <m/>
    <x v="0"/>
    <x v="0"/>
    <x v="0"/>
    <n v="0"/>
    <x v="0"/>
  </r>
  <r>
    <s v="Wisconsin"/>
    <x v="8"/>
    <x v="1"/>
    <n v="3"/>
    <n v="10"/>
    <n v="3.33"/>
    <m/>
    <m/>
    <x v="0"/>
    <x v="0"/>
    <x v="0"/>
    <n v="0"/>
    <x v="0"/>
  </r>
  <r>
    <s v="Wyoming"/>
    <x v="4"/>
    <x v="1"/>
    <n v="7"/>
    <n v="26"/>
    <n v="3.71"/>
    <m/>
    <m/>
    <x v="0"/>
    <x v="0"/>
    <x v="0"/>
    <n v="0"/>
    <x v="0"/>
  </r>
  <r>
    <s v="Air Force"/>
    <x v="4"/>
    <x v="3"/>
    <n v="3"/>
    <n v="10"/>
    <n v="3.33"/>
    <m/>
    <m/>
    <x v="0"/>
    <x v="0"/>
    <x v="0"/>
    <n v="0"/>
    <x v="0"/>
  </r>
  <r>
    <s v="Akron"/>
    <x v="3"/>
    <x v="3"/>
    <n v="4"/>
    <n v="10"/>
    <n v="2.5"/>
    <m/>
    <m/>
    <x v="0"/>
    <x v="0"/>
    <x v="0"/>
    <n v="0"/>
    <x v="0"/>
  </r>
  <r>
    <s v="App State"/>
    <x v="0"/>
    <x v="3"/>
    <n v="3"/>
    <n v="37"/>
    <n v="12.33"/>
    <m/>
    <m/>
    <x v="0"/>
    <x v="0"/>
    <x v="0"/>
    <n v="0"/>
    <x v="0"/>
  </r>
  <r>
    <s v="Arizona"/>
    <x v="1"/>
    <x v="3"/>
    <n v="7"/>
    <n v="21"/>
    <n v="3"/>
    <m/>
    <m/>
    <x v="0"/>
    <x v="0"/>
    <x v="0"/>
    <n v="0"/>
    <x v="0"/>
  </r>
  <r>
    <s v="Arizona State"/>
    <x v="1"/>
    <x v="3"/>
    <n v="2"/>
    <n v="42"/>
    <n v="21"/>
    <m/>
    <m/>
    <x v="0"/>
    <x v="0"/>
    <x v="0"/>
    <n v="0"/>
    <x v="0"/>
  </r>
  <r>
    <s v="Arkansas"/>
    <x v="2"/>
    <x v="3"/>
    <n v="2"/>
    <n v="5"/>
    <n v="2.5"/>
    <m/>
    <m/>
    <x v="0"/>
    <x v="0"/>
    <x v="0"/>
    <n v="0"/>
    <x v="0"/>
  </r>
  <r>
    <s v="Arkansas State"/>
    <x v="0"/>
    <x v="3"/>
    <n v="2"/>
    <n v="24"/>
    <n v="12"/>
    <m/>
    <m/>
    <x v="0"/>
    <x v="0"/>
    <x v="0"/>
    <n v="0"/>
    <x v="0"/>
  </r>
  <r>
    <s v="Army"/>
    <x v="6"/>
    <x v="3"/>
    <n v="5"/>
    <n v="12"/>
    <n v="2.4"/>
    <m/>
    <m/>
    <x v="0"/>
    <x v="0"/>
    <x v="0"/>
    <n v="0"/>
    <x v="0"/>
  </r>
  <r>
    <s v="Auburn"/>
    <x v="2"/>
    <x v="3"/>
    <n v="2"/>
    <n v="5"/>
    <n v="2.5"/>
    <m/>
    <m/>
    <x v="0"/>
    <x v="0"/>
    <x v="0"/>
    <n v="0"/>
    <x v="0"/>
  </r>
  <r>
    <s v="Ball State"/>
    <x v="3"/>
    <x v="3"/>
    <n v="10"/>
    <n v="49"/>
    <n v="4.9000000000000004"/>
    <m/>
    <m/>
    <x v="0"/>
    <x v="0"/>
    <x v="0"/>
    <n v="0"/>
    <x v="0"/>
  </r>
  <r>
    <s v="Boise State"/>
    <x v="4"/>
    <x v="3"/>
    <n v="7"/>
    <n v="52"/>
    <n v="7.43"/>
    <m/>
    <m/>
    <x v="0"/>
    <x v="0"/>
    <x v="0"/>
    <n v="0"/>
    <x v="0"/>
  </r>
  <r>
    <s v="Boston College"/>
    <x v="5"/>
    <x v="3"/>
    <n v="5"/>
    <n v="22"/>
    <n v="4.4000000000000004"/>
    <m/>
    <m/>
    <x v="0"/>
    <x v="0"/>
    <x v="0"/>
    <n v="0"/>
    <x v="0"/>
  </r>
  <r>
    <s v="Bowling Green"/>
    <x v="3"/>
    <x v="3"/>
    <n v="6"/>
    <n v="29"/>
    <n v="4.83"/>
    <m/>
    <m/>
    <x v="0"/>
    <x v="0"/>
    <x v="0"/>
    <n v="0"/>
    <x v="0"/>
  </r>
  <r>
    <s v="C Michigan"/>
    <x v="3"/>
    <x v="3"/>
    <n v="8"/>
    <n v="48"/>
    <n v="6"/>
    <m/>
    <m/>
    <x v="0"/>
    <x v="0"/>
    <x v="0"/>
    <n v="0"/>
    <x v="0"/>
  </r>
  <r>
    <s v="California"/>
    <x v="5"/>
    <x v="3"/>
    <n v="9"/>
    <n v="53"/>
    <n v="5.89"/>
    <m/>
    <m/>
    <x v="0"/>
    <x v="0"/>
    <x v="0"/>
    <n v="0"/>
    <x v="0"/>
  </r>
  <r>
    <s v="Charlotte"/>
    <x v="6"/>
    <x v="3"/>
    <n v="2"/>
    <n v="5"/>
    <n v="2.5"/>
    <m/>
    <m/>
    <x v="0"/>
    <x v="0"/>
    <x v="0"/>
    <n v="0"/>
    <x v="0"/>
  </r>
  <r>
    <s v="Clemson"/>
    <x v="5"/>
    <x v="3"/>
    <n v="3"/>
    <n v="10"/>
    <n v="3.33"/>
    <m/>
    <m/>
    <x v="0"/>
    <x v="0"/>
    <x v="0"/>
    <n v="0"/>
    <x v="0"/>
  </r>
  <r>
    <s v="Coastal Carolina"/>
    <x v="0"/>
    <x v="3"/>
    <n v="10"/>
    <n v="39"/>
    <n v="3.9"/>
    <m/>
    <m/>
    <x v="0"/>
    <x v="0"/>
    <x v="0"/>
    <n v="0"/>
    <x v="0"/>
  </r>
  <r>
    <s v="Colorado"/>
    <x v="1"/>
    <x v="3"/>
    <n v="3"/>
    <n v="17"/>
    <n v="5.67"/>
    <m/>
    <m/>
    <x v="0"/>
    <x v="0"/>
    <x v="0"/>
    <n v="0"/>
    <x v="0"/>
  </r>
  <r>
    <s v="Colorado State"/>
    <x v="4"/>
    <x v="3"/>
    <n v="2"/>
    <n v="7"/>
    <n v="3.5"/>
    <m/>
    <m/>
    <x v="0"/>
    <x v="0"/>
    <x v="0"/>
    <n v="0"/>
    <x v="0"/>
  </r>
  <r>
    <s v="Duke"/>
    <x v="5"/>
    <x v="3"/>
    <n v="7"/>
    <n v="24"/>
    <n v="3.43"/>
    <m/>
    <m/>
    <x v="0"/>
    <x v="0"/>
    <x v="0"/>
    <n v="0"/>
    <x v="0"/>
  </r>
  <r>
    <s v="E Michigan"/>
    <x v="3"/>
    <x v="3"/>
    <n v="4"/>
    <n v="15"/>
    <n v="3.75"/>
    <m/>
    <m/>
    <x v="0"/>
    <x v="0"/>
    <x v="0"/>
    <n v="0"/>
    <x v="0"/>
  </r>
  <r>
    <s v="East Carolina"/>
    <x v="6"/>
    <x v="3"/>
    <n v="7"/>
    <n v="54"/>
    <n v="7.71"/>
    <m/>
    <m/>
    <x v="0"/>
    <x v="0"/>
    <x v="0"/>
    <n v="0"/>
    <x v="0"/>
  </r>
  <r>
    <s v="FAU"/>
    <x v="6"/>
    <x v="3"/>
    <n v="9"/>
    <n v="43"/>
    <n v="4.78"/>
    <m/>
    <m/>
    <x v="0"/>
    <x v="0"/>
    <x v="0"/>
    <n v="0"/>
    <x v="0"/>
  </r>
  <r>
    <s v="FIU"/>
    <x v="7"/>
    <x v="3"/>
    <n v="4"/>
    <n v="10"/>
    <n v="2.5"/>
    <m/>
    <m/>
    <x v="0"/>
    <x v="0"/>
    <x v="0"/>
    <n v="0"/>
    <x v="0"/>
  </r>
  <r>
    <s v="Florida"/>
    <x v="2"/>
    <x v="3"/>
    <n v="8"/>
    <n v="81"/>
    <n v="10.119999999999999"/>
    <m/>
    <m/>
    <x v="0"/>
    <x v="0"/>
    <x v="0"/>
    <n v="0"/>
    <x v="0"/>
  </r>
  <r>
    <s v="Florida State"/>
    <x v="5"/>
    <x v="3"/>
    <n v="4"/>
    <n v="5"/>
    <n v="1.25"/>
    <m/>
    <m/>
    <x v="0"/>
    <x v="0"/>
    <x v="0"/>
    <n v="0"/>
    <x v="0"/>
  </r>
  <r>
    <s v="Georgia Southern"/>
    <x v="0"/>
    <x v="3"/>
    <n v="4"/>
    <n v="19"/>
    <n v="4.75"/>
    <m/>
    <m/>
    <x v="0"/>
    <x v="0"/>
    <x v="0"/>
    <n v="0"/>
    <x v="0"/>
  </r>
  <r>
    <s v="Georgia State"/>
    <x v="0"/>
    <x v="3"/>
    <n v="4"/>
    <n v="15"/>
    <n v="3.75"/>
    <m/>
    <m/>
    <x v="0"/>
    <x v="0"/>
    <x v="0"/>
    <n v="0"/>
    <x v="0"/>
  </r>
  <r>
    <s v="Hawai'i"/>
    <x v="4"/>
    <x v="3"/>
    <n v="3"/>
    <n v="131"/>
    <n v="43.67"/>
    <m/>
    <m/>
    <x v="0"/>
    <x v="0"/>
    <x v="0"/>
    <n v="0"/>
    <x v="0"/>
  </r>
  <r>
    <s v="Houston"/>
    <x v="1"/>
    <x v="3"/>
    <n v="5"/>
    <n v="32"/>
    <n v="6.4"/>
    <m/>
    <m/>
    <x v="0"/>
    <x v="0"/>
    <x v="0"/>
    <n v="0"/>
    <x v="0"/>
  </r>
  <r>
    <s v="Illinois"/>
    <x v="8"/>
    <x v="3"/>
    <n v="6"/>
    <n v="33"/>
    <n v="5.5"/>
    <m/>
    <m/>
    <x v="0"/>
    <x v="0"/>
    <x v="0"/>
    <n v="0"/>
    <x v="0"/>
  </r>
  <r>
    <s v="Iowa State"/>
    <x v="1"/>
    <x v="3"/>
    <n v="1"/>
    <n v="3"/>
    <n v="3"/>
    <m/>
    <m/>
    <x v="0"/>
    <x v="0"/>
    <x v="0"/>
    <n v="0"/>
    <x v="0"/>
  </r>
  <r>
    <s v="Jacksonville State"/>
    <x v="7"/>
    <x v="3"/>
    <n v="6"/>
    <n v="85"/>
    <n v="14.17"/>
    <m/>
    <m/>
    <x v="0"/>
    <x v="0"/>
    <x v="0"/>
    <n v="0"/>
    <x v="0"/>
  </r>
  <r>
    <s v="Kansas"/>
    <x v="1"/>
    <x v="3"/>
    <n v="3"/>
    <n v="12"/>
    <n v="4"/>
    <m/>
    <m/>
    <x v="0"/>
    <x v="0"/>
    <x v="0"/>
    <n v="0"/>
    <x v="0"/>
  </r>
  <r>
    <s v="Kennesaw State"/>
    <x v="7"/>
    <x v="3"/>
    <n v="4"/>
    <n v="19"/>
    <n v="4.75"/>
    <m/>
    <m/>
    <x v="0"/>
    <x v="0"/>
    <x v="0"/>
    <n v="0"/>
    <x v="0"/>
  </r>
  <r>
    <s v="Kent State"/>
    <x v="3"/>
    <x v="3"/>
    <n v="1"/>
    <n v="2"/>
    <n v="2"/>
    <m/>
    <m/>
    <x v="0"/>
    <x v="0"/>
    <x v="0"/>
    <n v="0"/>
    <x v="0"/>
  </r>
  <r>
    <s v="Kentucky"/>
    <x v="2"/>
    <x v="3"/>
    <n v="7"/>
    <n v="33"/>
    <n v="4.71"/>
    <m/>
    <m/>
    <x v="0"/>
    <x v="0"/>
    <x v="0"/>
    <n v="0"/>
    <x v="0"/>
  </r>
  <r>
    <s v="LSU"/>
    <x v="2"/>
    <x v="3"/>
    <n v="5"/>
    <n v="20"/>
    <n v="4"/>
    <m/>
    <m/>
    <x v="0"/>
    <x v="0"/>
    <x v="0"/>
    <n v="0"/>
    <x v="0"/>
  </r>
  <r>
    <s v="La Tech"/>
    <x v="7"/>
    <x v="3"/>
    <n v="6"/>
    <n v="24"/>
    <n v="4"/>
    <m/>
    <m/>
    <x v="0"/>
    <x v="0"/>
    <x v="0"/>
    <n v="0"/>
    <x v="0"/>
  </r>
  <r>
    <s v="Louisiana"/>
    <x v="0"/>
    <x v="3"/>
    <n v="7"/>
    <n v="31"/>
    <n v="4.43"/>
    <m/>
    <m/>
    <x v="0"/>
    <x v="0"/>
    <x v="0"/>
    <n v="0"/>
    <x v="0"/>
  </r>
  <r>
    <s v="MTSU"/>
    <x v="7"/>
    <x v="3"/>
    <n v="2"/>
    <n v="64"/>
    <n v="32"/>
    <m/>
    <m/>
    <x v="0"/>
    <x v="0"/>
    <x v="0"/>
    <n v="0"/>
    <x v="0"/>
  </r>
  <r>
    <s v="Marshall"/>
    <x v="0"/>
    <x v="3"/>
    <n v="8"/>
    <n v="27"/>
    <n v="3.38"/>
    <m/>
    <m/>
    <x v="0"/>
    <x v="0"/>
    <x v="0"/>
    <n v="0"/>
    <x v="0"/>
  </r>
  <r>
    <s v="Memphis"/>
    <x v="6"/>
    <x v="3"/>
    <n v="9"/>
    <n v="75"/>
    <n v="8.33"/>
    <m/>
    <m/>
    <x v="0"/>
    <x v="0"/>
    <x v="0"/>
    <n v="0"/>
    <x v="0"/>
  </r>
  <r>
    <s v="Michigan State"/>
    <x v="8"/>
    <x v="3"/>
    <n v="1"/>
    <n v="1"/>
    <n v="1"/>
    <m/>
    <m/>
    <x v="0"/>
    <x v="0"/>
    <x v="0"/>
    <n v="0"/>
    <x v="0"/>
  </r>
  <r>
    <s v="Minnesota"/>
    <x v="8"/>
    <x v="3"/>
    <n v="6"/>
    <n v="18"/>
    <n v="3"/>
    <m/>
    <m/>
    <x v="0"/>
    <x v="0"/>
    <x v="0"/>
    <n v="0"/>
    <x v="0"/>
  </r>
  <r>
    <s v="Mississippi State"/>
    <x v="2"/>
    <x v="3"/>
    <n v="8"/>
    <n v="76"/>
    <n v="9.5"/>
    <m/>
    <m/>
    <x v="0"/>
    <x v="0"/>
    <x v="0"/>
    <n v="0"/>
    <x v="0"/>
  </r>
  <r>
    <s v="Missouri State"/>
    <x v="7"/>
    <x v="3"/>
    <n v="4"/>
    <n v="38"/>
    <n v="9.5"/>
    <m/>
    <m/>
    <x v="0"/>
    <x v="0"/>
    <x v="0"/>
    <n v="0"/>
    <x v="0"/>
  </r>
  <r>
    <s v="N Illinois"/>
    <x v="3"/>
    <x v="3"/>
    <n v="3"/>
    <n v="23"/>
    <n v="7.67"/>
    <m/>
    <m/>
    <x v="0"/>
    <x v="0"/>
    <x v="0"/>
    <n v="0"/>
    <x v="0"/>
  </r>
  <r>
    <s v="N Texas"/>
    <x v="6"/>
    <x v="3"/>
    <n v="7"/>
    <n v="88"/>
    <n v="12.57"/>
    <m/>
    <m/>
    <x v="0"/>
    <x v="0"/>
    <x v="0"/>
    <n v="0"/>
    <x v="0"/>
  </r>
  <r>
    <s v="NC State"/>
    <x v="5"/>
    <x v="3"/>
    <n v="2"/>
    <n v="3"/>
    <n v="1.5"/>
    <m/>
    <m/>
    <x v="0"/>
    <x v="0"/>
    <x v="0"/>
    <n v="0"/>
    <x v="0"/>
  </r>
  <r>
    <s v="Navy"/>
    <x v="6"/>
    <x v="3"/>
    <n v="4"/>
    <n v="6"/>
    <n v="1.5"/>
    <m/>
    <m/>
    <x v="0"/>
    <x v="0"/>
    <x v="0"/>
    <n v="0"/>
    <x v="0"/>
  </r>
  <r>
    <s v="Nebraska"/>
    <x v="8"/>
    <x v="3"/>
    <n v="2"/>
    <n v="5"/>
    <n v="2.5"/>
    <m/>
    <m/>
    <x v="0"/>
    <x v="0"/>
    <x v="0"/>
    <n v="0"/>
    <x v="0"/>
  </r>
  <r>
    <s v="Nevada"/>
    <x v="4"/>
    <x v="3"/>
    <n v="4"/>
    <n v="83"/>
    <n v="20.75"/>
    <m/>
    <m/>
    <x v="0"/>
    <x v="0"/>
    <x v="0"/>
    <n v="0"/>
    <x v="0"/>
  </r>
  <r>
    <s v="New Mexico"/>
    <x v="4"/>
    <x v="3"/>
    <n v="8"/>
    <n v="77"/>
    <n v="9.6199999999999992"/>
    <m/>
    <m/>
    <x v="0"/>
    <x v="0"/>
    <x v="0"/>
    <n v="0"/>
    <x v="0"/>
  </r>
  <r>
    <s v="New Mexico State"/>
    <x v="7"/>
    <x v="3"/>
    <n v="9"/>
    <n v="47"/>
    <n v="5.22"/>
    <m/>
    <m/>
    <x v="0"/>
    <x v="0"/>
    <x v="0"/>
    <n v="0"/>
    <x v="0"/>
  </r>
  <r>
    <s v="North Carolina"/>
    <x v="5"/>
    <x v="3"/>
    <n v="4"/>
    <n v="50"/>
    <n v="12.5"/>
    <m/>
    <m/>
    <x v="0"/>
    <x v="0"/>
    <x v="0"/>
    <n v="0"/>
    <x v="0"/>
  </r>
  <r>
    <s v="Northwestern"/>
    <x v="8"/>
    <x v="3"/>
    <n v="3"/>
    <n v="10"/>
    <n v="3.33"/>
    <m/>
    <m/>
    <x v="0"/>
    <x v="0"/>
    <x v="0"/>
    <n v="0"/>
    <x v="0"/>
  </r>
  <r>
    <s v="ODU"/>
    <x v="0"/>
    <x v="3"/>
    <n v="7"/>
    <n v="21"/>
    <n v="3"/>
    <m/>
    <m/>
    <x v="0"/>
    <x v="0"/>
    <x v="0"/>
    <n v="0"/>
    <x v="0"/>
  </r>
  <r>
    <s v="Ohio"/>
    <x v="3"/>
    <x v="3"/>
    <n v="4"/>
    <n v="5"/>
    <n v="1.25"/>
    <m/>
    <m/>
    <x v="0"/>
    <x v="0"/>
    <x v="0"/>
    <n v="0"/>
    <x v="0"/>
  </r>
  <r>
    <s v="Oklahoma State"/>
    <x v="1"/>
    <x v="3"/>
    <n v="1"/>
    <n v="45"/>
    <n v="45"/>
    <m/>
    <m/>
    <x v="0"/>
    <x v="0"/>
    <x v="0"/>
    <n v="0"/>
    <x v="0"/>
  </r>
  <r>
    <s v="Oregon State"/>
    <x v="9"/>
    <x v="3"/>
    <n v="9"/>
    <n v="78"/>
    <n v="8.67"/>
    <m/>
    <m/>
    <x v="0"/>
    <x v="0"/>
    <x v="0"/>
    <n v="0"/>
    <x v="0"/>
  </r>
  <r>
    <s v="Penn State"/>
    <x v="8"/>
    <x v="3"/>
    <n v="5"/>
    <n v="13"/>
    <n v="2.6"/>
    <m/>
    <m/>
    <x v="0"/>
    <x v="0"/>
    <x v="0"/>
    <n v="0"/>
    <x v="0"/>
  </r>
  <r>
    <s v="Purdue"/>
    <x v="8"/>
    <x v="3"/>
    <n v="6"/>
    <n v="45"/>
    <n v="7.5"/>
    <m/>
    <m/>
    <x v="0"/>
    <x v="0"/>
    <x v="0"/>
    <n v="0"/>
    <x v="0"/>
  </r>
  <r>
    <s v="Rice"/>
    <x v="6"/>
    <x v="3"/>
    <n v="4"/>
    <n v="19"/>
    <n v="4.75"/>
    <m/>
    <m/>
    <x v="0"/>
    <x v="0"/>
    <x v="0"/>
    <n v="0"/>
    <x v="0"/>
  </r>
  <r>
    <s v="Rutgers"/>
    <x v="8"/>
    <x v="3"/>
    <n v="4"/>
    <n v="11"/>
    <n v="2.75"/>
    <m/>
    <m/>
    <x v="0"/>
    <x v="0"/>
    <x v="0"/>
    <n v="0"/>
    <x v="0"/>
  </r>
  <r>
    <s v="S Alabama"/>
    <x v="0"/>
    <x v="3"/>
    <n v="10"/>
    <n v="39"/>
    <n v="3.9"/>
    <m/>
    <m/>
    <x v="0"/>
    <x v="0"/>
    <x v="0"/>
    <n v="0"/>
    <x v="0"/>
  </r>
  <r>
    <s v="Sam Houston"/>
    <x v="7"/>
    <x v="3"/>
    <n v="2"/>
    <n v="8"/>
    <n v="4"/>
    <m/>
    <m/>
    <x v="0"/>
    <x v="0"/>
    <x v="0"/>
    <n v="0"/>
    <x v="0"/>
  </r>
  <r>
    <s v="San Diego State"/>
    <x v="4"/>
    <x v="3"/>
    <n v="9"/>
    <n v="32"/>
    <n v="3.56"/>
    <m/>
    <m/>
    <x v="0"/>
    <x v="0"/>
    <x v="0"/>
    <n v="0"/>
    <x v="0"/>
  </r>
  <r>
    <s v="San Jose St"/>
    <x v="4"/>
    <x v="3"/>
    <n v="9"/>
    <n v="49"/>
    <n v="5.44"/>
    <m/>
    <m/>
    <x v="0"/>
    <x v="0"/>
    <x v="0"/>
    <n v="0"/>
    <x v="0"/>
  </r>
  <r>
    <s v="South Carolina"/>
    <x v="2"/>
    <x v="3"/>
    <n v="4"/>
    <n v="15"/>
    <n v="3.75"/>
    <m/>
    <m/>
    <x v="0"/>
    <x v="0"/>
    <x v="0"/>
    <n v="0"/>
    <x v="0"/>
  </r>
  <r>
    <s v="Southern Miss"/>
    <x v="0"/>
    <x v="3"/>
    <n v="11"/>
    <n v="35"/>
    <n v="3.18"/>
    <m/>
    <m/>
    <x v="0"/>
    <x v="0"/>
    <x v="0"/>
    <n v="0"/>
    <x v="0"/>
  </r>
  <r>
    <s v="Stanford"/>
    <x v="5"/>
    <x v="3"/>
    <n v="9"/>
    <n v="108"/>
    <n v="12"/>
    <m/>
    <m/>
    <x v="0"/>
    <x v="0"/>
    <x v="0"/>
    <n v="0"/>
    <x v="0"/>
  </r>
  <r>
    <s v="Syracuse"/>
    <x v="5"/>
    <x v="3"/>
    <n v="7"/>
    <n v="36"/>
    <n v="5.14"/>
    <m/>
    <m/>
    <x v="0"/>
    <x v="0"/>
    <x v="0"/>
    <n v="0"/>
    <x v="0"/>
  </r>
  <r>
    <s v="Temple"/>
    <x v="6"/>
    <x v="3"/>
    <n v="8"/>
    <n v="53"/>
    <n v="6.62"/>
    <m/>
    <m/>
    <x v="0"/>
    <x v="0"/>
    <x v="0"/>
    <n v="0"/>
    <x v="0"/>
  </r>
  <r>
    <s v="Toledo"/>
    <x v="3"/>
    <x v="3"/>
    <n v="2"/>
    <n v="2"/>
    <n v="1"/>
    <m/>
    <m/>
    <x v="0"/>
    <x v="0"/>
    <x v="0"/>
    <n v="0"/>
    <x v="0"/>
  </r>
  <r>
    <s v="Troy"/>
    <x v="0"/>
    <x v="3"/>
    <n v="2"/>
    <n v="5"/>
    <n v="2.5"/>
    <m/>
    <m/>
    <x v="0"/>
    <x v="0"/>
    <x v="0"/>
    <n v="0"/>
    <x v="0"/>
  </r>
  <r>
    <s v="Tulsa"/>
    <x v="6"/>
    <x v="3"/>
    <n v="3"/>
    <n v="13"/>
    <n v="4.33"/>
    <m/>
    <m/>
    <x v="0"/>
    <x v="0"/>
    <x v="0"/>
    <n v="0"/>
    <x v="0"/>
  </r>
  <r>
    <s v="UAB"/>
    <x v="6"/>
    <x v="3"/>
    <n v="4"/>
    <n v="10"/>
    <n v="2.5"/>
    <m/>
    <m/>
    <x v="0"/>
    <x v="0"/>
    <x v="0"/>
    <n v="0"/>
    <x v="0"/>
  </r>
  <r>
    <s v="UCF"/>
    <x v="1"/>
    <x v="3"/>
    <n v="4"/>
    <n v="37"/>
    <n v="9.25"/>
    <m/>
    <m/>
    <x v="0"/>
    <x v="0"/>
    <x v="0"/>
    <n v="0"/>
    <x v="0"/>
  </r>
  <r>
    <s v="UConn"/>
    <x v="10"/>
    <x v="3"/>
    <n v="4"/>
    <n v="47"/>
    <n v="11.75"/>
    <m/>
    <m/>
    <x v="0"/>
    <x v="0"/>
    <x v="0"/>
    <n v="0"/>
    <x v="0"/>
  </r>
  <r>
    <s v="UL Monroe"/>
    <x v="0"/>
    <x v="3"/>
    <n v="3"/>
    <n v="19"/>
    <n v="6.33"/>
    <m/>
    <m/>
    <x v="0"/>
    <x v="0"/>
    <x v="0"/>
    <n v="0"/>
    <x v="0"/>
  </r>
  <r>
    <s v="UNLV"/>
    <x v="4"/>
    <x v="3"/>
    <n v="6"/>
    <n v="84"/>
    <n v="14"/>
    <m/>
    <m/>
    <x v="0"/>
    <x v="0"/>
    <x v="0"/>
    <n v="0"/>
    <x v="0"/>
  </r>
  <r>
    <s v="UTEP"/>
    <x v="7"/>
    <x v="3"/>
    <n v="5"/>
    <n v="15"/>
    <n v="3"/>
    <m/>
    <m/>
    <x v="0"/>
    <x v="0"/>
    <x v="0"/>
    <n v="0"/>
    <x v="0"/>
  </r>
  <r>
    <s v="UTSA"/>
    <x v="6"/>
    <x v="3"/>
    <n v="4"/>
    <n v="42"/>
    <n v="10.5"/>
    <m/>
    <m/>
    <x v="0"/>
    <x v="0"/>
    <x v="0"/>
    <n v="0"/>
    <x v="0"/>
  </r>
  <r>
    <s v="Utah State"/>
    <x v="4"/>
    <x v="3"/>
    <n v="3"/>
    <n v="75"/>
    <n v="25"/>
    <m/>
    <m/>
    <x v="0"/>
    <x v="0"/>
    <x v="0"/>
    <n v="0"/>
    <x v="0"/>
  </r>
  <r>
    <s v="Virginia Tech"/>
    <x v="5"/>
    <x v="3"/>
    <n v="7"/>
    <n v="13"/>
    <n v="1.86"/>
    <m/>
    <m/>
    <x v="0"/>
    <x v="0"/>
    <x v="0"/>
    <n v="0"/>
    <x v="0"/>
  </r>
  <r>
    <s v="WKU"/>
    <x v="7"/>
    <x v="3"/>
    <n v="8"/>
    <n v="36"/>
    <n v="4.5"/>
    <m/>
    <m/>
    <x v="0"/>
    <x v="0"/>
    <x v="0"/>
    <n v="0"/>
    <x v="0"/>
  </r>
  <r>
    <s v="Wake Forest"/>
    <x v="5"/>
    <x v="3"/>
    <n v="3"/>
    <n v="10"/>
    <n v="3.33"/>
    <m/>
    <m/>
    <x v="0"/>
    <x v="0"/>
    <x v="0"/>
    <n v="0"/>
    <x v="0"/>
  </r>
  <r>
    <s v="Washington State"/>
    <x v="9"/>
    <x v="3"/>
    <n v="9"/>
    <n v="78"/>
    <n v="8.67"/>
    <m/>
    <m/>
    <x v="0"/>
    <x v="0"/>
    <x v="0"/>
    <n v="0"/>
    <x v="0"/>
  </r>
  <r>
    <s v="West Virginia"/>
    <x v="1"/>
    <x v="3"/>
    <n v="9"/>
    <n v="121"/>
    <n v="13.44"/>
    <m/>
    <m/>
    <x v="0"/>
    <x v="0"/>
    <x v="0"/>
    <n v="0"/>
    <x v="0"/>
  </r>
  <r>
    <s v="Wisconsin"/>
    <x v="8"/>
    <x v="3"/>
    <n v="3"/>
    <n v="5"/>
    <n v="1.67"/>
    <m/>
    <m/>
    <x v="0"/>
    <x v="0"/>
    <x v="0"/>
    <n v="0"/>
    <x v="0"/>
  </r>
  <r>
    <s v="Wyoming"/>
    <x v="4"/>
    <x v="3"/>
    <n v="2"/>
    <n v="24"/>
    <n v="12"/>
    <m/>
    <m/>
    <x v="0"/>
    <x v="0"/>
    <x v="0"/>
    <n v="0"/>
    <x v="0"/>
  </r>
  <r>
    <s v="Iowa"/>
    <x v="8"/>
    <x v="13"/>
    <n v="6"/>
    <n v="65"/>
    <n v="10.83"/>
    <m/>
    <m/>
    <x v="1"/>
    <x v="4"/>
    <x v="0"/>
    <n v="0"/>
    <x v="0"/>
  </r>
  <r>
    <s v="Iowa"/>
    <x v="8"/>
    <x v="0"/>
    <n v="4"/>
    <n v="20"/>
    <n v="5"/>
    <m/>
    <m/>
    <x v="1"/>
    <x v="0"/>
    <x v="0"/>
    <n v="0"/>
    <x v="0"/>
  </r>
  <r>
    <s v="Iowa"/>
    <x v="8"/>
    <x v="3"/>
    <n v="3"/>
    <n v="5"/>
    <n v="1.67"/>
    <m/>
    <m/>
    <x v="1"/>
    <x v="0"/>
    <x v="0"/>
    <n v="0"/>
    <x v="0"/>
  </r>
  <r>
    <s v="Iowa"/>
    <x v="8"/>
    <x v="7"/>
    <n v="3"/>
    <n v="30"/>
    <n v="10"/>
    <m/>
    <m/>
    <x v="1"/>
    <x v="3"/>
    <x v="0"/>
    <n v="0"/>
    <x v="0"/>
  </r>
  <r>
    <s v="Iowa"/>
    <x v="8"/>
    <x v="10"/>
    <n v="3"/>
    <n v="12"/>
    <n v="4"/>
    <m/>
    <m/>
    <x v="1"/>
    <x v="2"/>
    <x v="0"/>
    <n v="0"/>
    <x v="0"/>
  </r>
  <r>
    <s v="Iowa"/>
    <x v="8"/>
    <x v="6"/>
    <n v="3"/>
    <n v="17"/>
    <n v="5.67"/>
    <m/>
    <m/>
    <x v="1"/>
    <x v="2"/>
    <x v="0"/>
    <n v="0"/>
    <x v="0"/>
  </r>
  <r>
    <s v="Iowa"/>
    <x v="8"/>
    <x v="5"/>
    <n v="2"/>
    <n v="43"/>
    <n v="21.5"/>
    <m/>
    <m/>
    <x v="1"/>
    <x v="1"/>
    <x v="0"/>
    <n v="0"/>
    <x v="0"/>
  </r>
  <r>
    <s v="Iowa"/>
    <x v="8"/>
    <x v="1"/>
    <n v="1"/>
    <n v="5"/>
    <n v="5"/>
    <m/>
    <m/>
    <x v="1"/>
    <x v="0"/>
    <x v="0"/>
    <n v="0"/>
    <x v="0"/>
  </r>
  <r>
    <s v="Iowa"/>
    <x v="8"/>
    <x v="9"/>
    <n v="1"/>
    <n v="13"/>
    <n v="13"/>
    <m/>
    <m/>
    <x v="1"/>
    <x v="1"/>
    <x v="0"/>
    <n v="0"/>
    <x v="0"/>
  </r>
  <r>
    <s v="Iowa"/>
    <x v="8"/>
    <x v="2"/>
    <n v="1"/>
    <n v="4"/>
    <n v="4"/>
    <m/>
    <m/>
    <x v="1"/>
    <x v="0"/>
    <x v="0"/>
    <n v="0"/>
    <x v="0"/>
  </r>
  <r>
    <s v="Missouri"/>
    <x v="2"/>
    <x v="3"/>
    <n v="10"/>
    <n v="39"/>
    <n v="3.9"/>
    <m/>
    <n v="24"/>
    <x v="0"/>
    <x v="0"/>
    <x v="0"/>
    <n v="0"/>
    <x v="0"/>
  </r>
  <r>
    <s v="Missouri"/>
    <x v="2"/>
    <x v="13"/>
    <n v="9"/>
    <n v="40"/>
    <n v="4.4400000000000004"/>
    <m/>
    <n v="24"/>
    <x v="0"/>
    <x v="4"/>
    <x v="0"/>
    <n v="0"/>
    <x v="0"/>
  </r>
  <r>
    <s v="Missouri"/>
    <x v="2"/>
    <x v="5"/>
    <n v="9"/>
    <n v="70"/>
    <n v="7.78"/>
    <m/>
    <n v="24"/>
    <x v="0"/>
    <x v="1"/>
    <x v="0"/>
    <n v="0"/>
    <x v="0"/>
  </r>
  <r>
    <s v="Missouri"/>
    <x v="2"/>
    <x v="0"/>
    <n v="7"/>
    <n v="35"/>
    <n v="5"/>
    <m/>
    <n v="24"/>
    <x v="0"/>
    <x v="0"/>
    <x v="0"/>
    <n v="0"/>
    <x v="0"/>
  </r>
  <r>
    <s v="Missouri"/>
    <x v="2"/>
    <x v="7"/>
    <n v="5"/>
    <n v="81"/>
    <n v="16.2"/>
    <m/>
    <n v="24"/>
    <x v="0"/>
    <x v="3"/>
    <x v="0"/>
    <n v="0"/>
    <x v="0"/>
  </r>
  <r>
    <s v="Missouri"/>
    <x v="2"/>
    <x v="9"/>
    <n v="2"/>
    <n v="23"/>
    <n v="11.5"/>
    <m/>
    <n v="24"/>
    <x v="0"/>
    <x v="1"/>
    <x v="0"/>
    <n v="0"/>
    <x v="0"/>
  </r>
  <r>
    <s v="Missouri"/>
    <x v="2"/>
    <x v="1"/>
    <n v="1"/>
    <n v="5"/>
    <n v="5"/>
    <m/>
    <n v="24"/>
    <x v="0"/>
    <x v="0"/>
    <x v="0"/>
    <n v="0"/>
    <x v="0"/>
  </r>
  <r>
    <s v="Missouri"/>
    <x v="2"/>
    <x v="10"/>
    <n v="1"/>
    <n v="15"/>
    <n v="15"/>
    <m/>
    <n v="24"/>
    <x v="0"/>
    <x v="2"/>
    <x v="0"/>
    <n v="0"/>
    <x v="0"/>
  </r>
  <r>
    <s v="Alabama"/>
    <x v="2"/>
    <x v="13"/>
    <n v="10"/>
    <n v="84"/>
    <n v="8.4"/>
    <n v="4"/>
    <n v="4"/>
    <x v="2"/>
    <x v="4"/>
    <x v="0"/>
    <n v="0"/>
    <x v="0"/>
  </r>
  <r>
    <s v="Alabama"/>
    <x v="2"/>
    <x v="0"/>
    <n v="9"/>
    <n v="20"/>
    <n v="2.2200000000000002"/>
    <n v="4"/>
    <n v="4"/>
    <x v="2"/>
    <x v="0"/>
    <x v="0"/>
    <n v="0"/>
    <x v="0"/>
  </r>
  <r>
    <s v="Alabama"/>
    <x v="2"/>
    <x v="3"/>
    <n v="7"/>
    <n v="25"/>
    <n v="3.57"/>
    <n v="4"/>
    <n v="4"/>
    <x v="2"/>
    <x v="0"/>
    <x v="0"/>
    <n v="0"/>
    <x v="0"/>
  </r>
  <r>
    <s v="Alabama"/>
    <x v="2"/>
    <x v="10"/>
    <n v="7"/>
    <n v="102"/>
    <n v="14.57"/>
    <n v="4"/>
    <n v="4"/>
    <x v="2"/>
    <x v="2"/>
    <x v="0"/>
    <n v="0"/>
    <x v="0"/>
  </r>
  <r>
    <s v="Alabama"/>
    <x v="2"/>
    <x v="7"/>
    <n v="5"/>
    <n v="102"/>
    <n v="20.399999999999999"/>
    <n v="4"/>
    <n v="4"/>
    <x v="2"/>
    <x v="3"/>
    <x v="0"/>
    <n v="0"/>
    <x v="0"/>
  </r>
  <r>
    <s v="Alabama"/>
    <x v="2"/>
    <x v="1"/>
    <n v="3"/>
    <n v="15"/>
    <n v="5"/>
    <n v="4"/>
    <n v="4"/>
    <x v="2"/>
    <x v="0"/>
    <x v="0"/>
    <n v="0"/>
    <x v="0"/>
  </r>
  <r>
    <s v="Alabama"/>
    <x v="2"/>
    <x v="5"/>
    <n v="3"/>
    <n v="10"/>
    <n v="3.33"/>
    <n v="4"/>
    <n v="4"/>
    <x v="2"/>
    <x v="1"/>
    <x v="0"/>
    <n v="0"/>
    <x v="0"/>
  </r>
  <r>
    <s v="Alabama"/>
    <x v="2"/>
    <x v="6"/>
    <n v="2"/>
    <n v="5"/>
    <n v="2.5"/>
    <n v="4"/>
    <n v="4"/>
    <x v="2"/>
    <x v="2"/>
    <x v="0"/>
    <n v="0"/>
    <x v="0"/>
  </r>
  <r>
    <s v="Alabama"/>
    <x v="2"/>
    <x v="2"/>
    <n v="1"/>
    <n v="28"/>
    <n v="28"/>
    <n v="4"/>
    <n v="4"/>
    <x v="2"/>
    <x v="0"/>
    <x v="0"/>
    <n v="0"/>
    <x v="0"/>
  </r>
  <r>
    <s v="Alabama"/>
    <x v="2"/>
    <x v="4"/>
    <n v="1"/>
    <n v="5"/>
    <n v="5"/>
    <n v="4"/>
    <n v="4"/>
    <x v="2"/>
    <x v="0"/>
    <x v="0"/>
    <n v="0"/>
    <x v="0"/>
  </r>
  <r>
    <s v="Alabama"/>
    <x v="2"/>
    <x v="11"/>
    <n v="1"/>
    <n v="0"/>
    <n v="0"/>
    <n v="4"/>
    <n v="4"/>
    <x v="2"/>
    <x v="2"/>
    <x v="1"/>
    <n v="1"/>
    <x v="1"/>
  </r>
  <r>
    <s v="Alabama"/>
    <x v="2"/>
    <x v="8"/>
    <n v="1"/>
    <n v="15"/>
    <n v="15"/>
    <n v="4"/>
    <n v="4"/>
    <x v="2"/>
    <x v="2"/>
    <x v="0"/>
    <n v="0"/>
    <x v="0"/>
  </r>
  <r>
    <s v="BYU"/>
    <x v="1"/>
    <x v="13"/>
    <n v="17"/>
    <n v="127"/>
    <n v="7.47"/>
    <n v="12"/>
    <n v="12"/>
    <x v="3"/>
    <x v="4"/>
    <x v="0"/>
    <n v="0"/>
    <x v="0"/>
  </r>
  <r>
    <s v="BYU"/>
    <x v="1"/>
    <x v="0"/>
    <n v="14"/>
    <n v="62"/>
    <n v="4.43"/>
    <n v="12"/>
    <n v="12"/>
    <x v="3"/>
    <x v="0"/>
    <x v="0"/>
    <n v="0"/>
    <x v="0"/>
  </r>
  <r>
    <s v="BYU"/>
    <x v="1"/>
    <x v="7"/>
    <n v="8"/>
    <n v="89"/>
    <n v="11.12"/>
    <n v="12"/>
    <n v="12"/>
    <x v="3"/>
    <x v="3"/>
    <x v="0"/>
    <n v="0"/>
    <x v="0"/>
  </r>
  <r>
    <s v="BYU"/>
    <x v="1"/>
    <x v="1"/>
    <n v="4"/>
    <n v="20"/>
    <n v="5"/>
    <n v="12"/>
    <n v="12"/>
    <x v="3"/>
    <x v="0"/>
    <x v="0"/>
    <n v="0"/>
    <x v="0"/>
  </r>
  <r>
    <s v="BYU"/>
    <x v="1"/>
    <x v="10"/>
    <n v="4"/>
    <n v="7"/>
    <n v="1.75"/>
    <n v="12"/>
    <n v="12"/>
    <x v="3"/>
    <x v="2"/>
    <x v="0"/>
    <n v="0"/>
    <x v="0"/>
  </r>
  <r>
    <s v="BYU"/>
    <x v="1"/>
    <x v="5"/>
    <n v="3"/>
    <n v="11"/>
    <n v="3.67"/>
    <n v="12"/>
    <n v="12"/>
    <x v="3"/>
    <x v="1"/>
    <x v="0"/>
    <n v="0"/>
    <x v="0"/>
  </r>
  <r>
    <s v="BYU"/>
    <x v="1"/>
    <x v="9"/>
    <n v="2"/>
    <n v="10"/>
    <n v="5"/>
    <n v="12"/>
    <n v="12"/>
    <x v="3"/>
    <x v="1"/>
    <x v="0"/>
    <n v="0"/>
    <x v="0"/>
  </r>
  <r>
    <s v="BYU"/>
    <x v="1"/>
    <x v="3"/>
    <n v="2"/>
    <n v="5"/>
    <n v="2.5"/>
    <n v="12"/>
    <n v="12"/>
    <x v="3"/>
    <x v="0"/>
    <x v="0"/>
    <n v="0"/>
    <x v="0"/>
  </r>
  <r>
    <s v="BYU"/>
    <x v="1"/>
    <x v="2"/>
    <n v="1"/>
    <n v="42"/>
    <n v="42"/>
    <n v="12"/>
    <n v="12"/>
    <x v="3"/>
    <x v="0"/>
    <x v="0"/>
    <n v="0"/>
    <x v="0"/>
  </r>
  <r>
    <s v="BYU"/>
    <x v="1"/>
    <x v="8"/>
    <n v="1"/>
    <n v="0"/>
    <n v="0"/>
    <n v="12"/>
    <n v="12"/>
    <x v="3"/>
    <x v="2"/>
    <x v="1"/>
    <n v="1"/>
    <x v="1"/>
  </r>
  <r>
    <s v="Cincinnati"/>
    <x v="1"/>
    <x v="13"/>
    <n v="17"/>
    <n v="139"/>
    <n v="8.18"/>
    <n v="22"/>
    <n v="22"/>
    <x v="4"/>
    <x v="4"/>
    <x v="0"/>
    <n v="0"/>
    <x v="0"/>
  </r>
  <r>
    <s v="Cincinnati"/>
    <x v="1"/>
    <x v="0"/>
    <n v="10"/>
    <n v="50"/>
    <n v="5"/>
    <n v="22"/>
    <n v="22"/>
    <x v="4"/>
    <x v="0"/>
    <x v="0"/>
    <n v="0"/>
    <x v="0"/>
  </r>
  <r>
    <s v="Cincinnati"/>
    <x v="1"/>
    <x v="5"/>
    <n v="5"/>
    <n v="120"/>
    <n v="24"/>
    <n v="22"/>
    <n v="22"/>
    <x v="4"/>
    <x v="1"/>
    <x v="0"/>
    <n v="0"/>
    <x v="0"/>
  </r>
  <r>
    <s v="Cincinnati"/>
    <x v="1"/>
    <x v="7"/>
    <n v="5"/>
    <n v="58"/>
    <n v="11.6"/>
    <n v="22"/>
    <n v="22"/>
    <x v="4"/>
    <x v="3"/>
    <x v="0"/>
    <n v="0"/>
    <x v="0"/>
  </r>
  <r>
    <s v="Cincinnati"/>
    <x v="1"/>
    <x v="10"/>
    <n v="4"/>
    <n v="90"/>
    <n v="22.5"/>
    <n v="22"/>
    <n v="22"/>
    <x v="4"/>
    <x v="2"/>
    <x v="0"/>
    <n v="0"/>
    <x v="0"/>
  </r>
  <r>
    <s v="Cincinnati"/>
    <x v="1"/>
    <x v="1"/>
    <n v="3"/>
    <n v="15"/>
    <n v="5"/>
    <n v="22"/>
    <n v="22"/>
    <x v="4"/>
    <x v="0"/>
    <x v="0"/>
    <n v="0"/>
    <x v="0"/>
  </r>
  <r>
    <s v="Cincinnati"/>
    <x v="1"/>
    <x v="3"/>
    <n v="3"/>
    <n v="9"/>
    <n v="3"/>
    <n v="22"/>
    <n v="22"/>
    <x v="4"/>
    <x v="0"/>
    <x v="0"/>
    <n v="0"/>
    <x v="0"/>
  </r>
  <r>
    <s v="Cincinnati"/>
    <x v="1"/>
    <x v="9"/>
    <n v="1"/>
    <n v="15"/>
    <n v="15"/>
    <n v="22"/>
    <n v="22"/>
    <x v="4"/>
    <x v="1"/>
    <x v="0"/>
    <n v="0"/>
    <x v="0"/>
  </r>
  <r>
    <s v="Cincinnati"/>
    <x v="1"/>
    <x v="11"/>
    <n v="1"/>
    <n v="0"/>
    <n v="0"/>
    <n v="22"/>
    <n v="22"/>
    <x v="4"/>
    <x v="2"/>
    <x v="1"/>
    <n v="1"/>
    <x v="1"/>
  </r>
  <r>
    <s v="Cincinnati"/>
    <x v="1"/>
    <x v="8"/>
    <n v="1"/>
    <n v="7"/>
    <n v="7"/>
    <n v="22"/>
    <n v="22"/>
    <x v="4"/>
    <x v="2"/>
    <x v="0"/>
    <n v="0"/>
    <x v="0"/>
  </r>
  <r>
    <s v="Georgia"/>
    <x v="2"/>
    <x v="13"/>
    <n v="14"/>
    <n v="96"/>
    <n v="6.86"/>
    <n v="5"/>
    <n v="5"/>
    <x v="5"/>
    <x v="4"/>
    <x v="0"/>
    <n v="0"/>
    <x v="0"/>
  </r>
  <r>
    <s v="Georgia"/>
    <x v="2"/>
    <x v="7"/>
    <n v="8"/>
    <n v="72"/>
    <n v="9"/>
    <n v="5"/>
    <n v="5"/>
    <x v="5"/>
    <x v="3"/>
    <x v="0"/>
    <n v="0"/>
    <x v="0"/>
  </r>
  <r>
    <s v="Georgia"/>
    <x v="2"/>
    <x v="5"/>
    <n v="6"/>
    <n v="34"/>
    <n v="5.67"/>
    <n v="5"/>
    <n v="5"/>
    <x v="5"/>
    <x v="1"/>
    <x v="0"/>
    <n v="0"/>
    <x v="0"/>
  </r>
  <r>
    <s v="Georgia"/>
    <x v="2"/>
    <x v="0"/>
    <n v="5"/>
    <n v="25"/>
    <n v="5"/>
    <n v="5"/>
    <n v="5"/>
    <x v="5"/>
    <x v="0"/>
    <x v="0"/>
    <n v="0"/>
    <x v="0"/>
  </r>
  <r>
    <s v="Georgia"/>
    <x v="2"/>
    <x v="3"/>
    <n v="5"/>
    <n v="22"/>
    <n v="4.4000000000000004"/>
    <n v="5"/>
    <n v="5"/>
    <x v="5"/>
    <x v="0"/>
    <x v="0"/>
    <n v="0"/>
    <x v="0"/>
  </r>
  <r>
    <s v="Georgia"/>
    <x v="2"/>
    <x v="10"/>
    <n v="5"/>
    <n v="5"/>
    <n v="1"/>
    <n v="5"/>
    <n v="5"/>
    <x v="5"/>
    <x v="2"/>
    <x v="0"/>
    <n v="0"/>
    <x v="0"/>
  </r>
  <r>
    <s v="Georgia"/>
    <x v="2"/>
    <x v="1"/>
    <n v="3"/>
    <n v="10"/>
    <n v="3.33"/>
    <n v="5"/>
    <n v="5"/>
    <x v="5"/>
    <x v="0"/>
    <x v="0"/>
    <n v="0"/>
    <x v="0"/>
  </r>
  <r>
    <s v="Georgia"/>
    <x v="2"/>
    <x v="11"/>
    <n v="1"/>
    <n v="15"/>
    <n v="15"/>
    <n v="5"/>
    <n v="5"/>
    <x v="5"/>
    <x v="2"/>
    <x v="0"/>
    <n v="0"/>
    <x v="0"/>
  </r>
  <r>
    <s v="Georgia"/>
    <x v="2"/>
    <x v="8"/>
    <n v="1"/>
    <n v="15"/>
    <n v="15"/>
    <n v="5"/>
    <n v="5"/>
    <x v="5"/>
    <x v="2"/>
    <x v="0"/>
    <n v="0"/>
    <x v="0"/>
  </r>
  <r>
    <s v="Georgia Tech"/>
    <x v="5"/>
    <x v="5"/>
    <n v="13"/>
    <n v="91"/>
    <n v="7"/>
    <n v="14"/>
    <n v="12"/>
    <x v="6"/>
    <x v="1"/>
    <x v="0"/>
    <n v="0"/>
    <x v="0"/>
  </r>
  <r>
    <s v="Georgia Tech"/>
    <x v="5"/>
    <x v="0"/>
    <n v="12"/>
    <n v="59"/>
    <n v="4.92"/>
    <n v="14"/>
    <n v="12"/>
    <x v="6"/>
    <x v="0"/>
    <x v="0"/>
    <n v="0"/>
    <x v="0"/>
  </r>
  <r>
    <s v="Georgia Tech"/>
    <x v="5"/>
    <x v="13"/>
    <n v="12"/>
    <n v="147"/>
    <n v="12.25"/>
    <n v="14"/>
    <n v="12"/>
    <x v="6"/>
    <x v="4"/>
    <x v="0"/>
    <n v="0"/>
    <x v="0"/>
  </r>
  <r>
    <s v="Georgia Tech"/>
    <x v="5"/>
    <x v="10"/>
    <n v="7"/>
    <n v="69"/>
    <n v="9.86"/>
    <n v="14"/>
    <n v="12"/>
    <x v="6"/>
    <x v="2"/>
    <x v="0"/>
    <n v="0"/>
    <x v="0"/>
  </r>
  <r>
    <s v="Georgia Tech"/>
    <x v="5"/>
    <x v="7"/>
    <n v="4"/>
    <n v="49"/>
    <n v="12.25"/>
    <n v="14"/>
    <n v="12"/>
    <x v="6"/>
    <x v="3"/>
    <x v="0"/>
    <n v="0"/>
    <x v="0"/>
  </r>
  <r>
    <s v="Georgia Tech"/>
    <x v="5"/>
    <x v="3"/>
    <n v="3"/>
    <n v="10"/>
    <n v="3.33"/>
    <n v="14"/>
    <n v="12"/>
    <x v="6"/>
    <x v="0"/>
    <x v="0"/>
    <n v="0"/>
    <x v="0"/>
  </r>
  <r>
    <s v="Georgia Tech"/>
    <x v="5"/>
    <x v="9"/>
    <n v="2"/>
    <n v="49"/>
    <n v="24.5"/>
    <n v="14"/>
    <n v="12"/>
    <x v="6"/>
    <x v="1"/>
    <x v="0"/>
    <n v="0"/>
    <x v="0"/>
  </r>
  <r>
    <s v="Georgia Tech"/>
    <x v="5"/>
    <x v="2"/>
    <n v="1"/>
    <n v="5"/>
    <n v="5"/>
    <n v="14"/>
    <n v="12"/>
    <x v="6"/>
    <x v="0"/>
    <x v="0"/>
    <n v="0"/>
    <x v="0"/>
  </r>
  <r>
    <s v="Georgia Tech"/>
    <x v="5"/>
    <x v="12"/>
    <n v="1"/>
    <n v="50"/>
    <n v="50"/>
    <n v="14"/>
    <n v="12"/>
    <x v="6"/>
    <x v="2"/>
    <x v="0"/>
    <n v="0"/>
    <x v="0"/>
  </r>
  <r>
    <s v="Georgia Tech"/>
    <x v="5"/>
    <x v="8"/>
    <n v="1"/>
    <n v="15"/>
    <n v="15"/>
    <n v="14"/>
    <n v="12"/>
    <x v="6"/>
    <x v="2"/>
    <x v="0"/>
    <n v="0"/>
    <x v="0"/>
  </r>
  <r>
    <s v="Indiana"/>
    <x v="8"/>
    <x v="0"/>
    <n v="16"/>
    <n v="70"/>
    <n v="4.38"/>
    <n v="2"/>
    <n v="2"/>
    <x v="7"/>
    <x v="0"/>
    <x v="0"/>
    <n v="0"/>
    <x v="0"/>
  </r>
  <r>
    <s v="Indiana"/>
    <x v="8"/>
    <x v="7"/>
    <n v="12"/>
    <n v="161"/>
    <n v="13.42"/>
    <n v="2"/>
    <n v="2"/>
    <x v="7"/>
    <x v="3"/>
    <x v="0"/>
    <n v="0"/>
    <x v="0"/>
  </r>
  <r>
    <s v="Indiana"/>
    <x v="8"/>
    <x v="13"/>
    <n v="9"/>
    <n v="110"/>
    <n v="12.22"/>
    <n v="2"/>
    <n v="2"/>
    <x v="7"/>
    <x v="4"/>
    <x v="0"/>
    <n v="0"/>
    <x v="0"/>
  </r>
  <r>
    <s v="Indiana"/>
    <x v="8"/>
    <x v="1"/>
    <n v="6"/>
    <n v="30"/>
    <n v="5"/>
    <n v="2"/>
    <n v="2"/>
    <x v="7"/>
    <x v="0"/>
    <x v="0"/>
    <n v="0"/>
    <x v="0"/>
  </r>
  <r>
    <s v="Indiana"/>
    <x v="8"/>
    <x v="3"/>
    <n v="4"/>
    <n v="10"/>
    <n v="2.5"/>
    <n v="2"/>
    <n v="2"/>
    <x v="7"/>
    <x v="0"/>
    <x v="0"/>
    <n v="0"/>
    <x v="0"/>
  </r>
  <r>
    <s v="Indiana"/>
    <x v="8"/>
    <x v="5"/>
    <n v="4"/>
    <n v="79"/>
    <n v="19.75"/>
    <n v="2"/>
    <n v="2"/>
    <x v="7"/>
    <x v="1"/>
    <x v="0"/>
    <n v="0"/>
    <x v="0"/>
  </r>
  <r>
    <s v="Indiana"/>
    <x v="8"/>
    <x v="10"/>
    <n v="2"/>
    <n v="11"/>
    <n v="5.5"/>
    <n v="2"/>
    <n v="2"/>
    <x v="7"/>
    <x v="2"/>
    <x v="0"/>
    <n v="0"/>
    <x v="0"/>
  </r>
  <r>
    <s v="Indiana"/>
    <x v="8"/>
    <x v="9"/>
    <n v="1"/>
    <n v="15"/>
    <n v="15"/>
    <n v="2"/>
    <n v="2"/>
    <x v="7"/>
    <x v="1"/>
    <x v="0"/>
    <n v="0"/>
    <x v="0"/>
  </r>
  <r>
    <s v="Indiana"/>
    <x v="8"/>
    <x v="2"/>
    <n v="1"/>
    <n v="9"/>
    <n v="9"/>
    <n v="2"/>
    <n v="2"/>
    <x v="7"/>
    <x v="0"/>
    <x v="0"/>
    <n v="0"/>
    <x v="0"/>
  </r>
  <r>
    <s v="Louisville"/>
    <x v="5"/>
    <x v="13"/>
    <n v="21"/>
    <n v="227"/>
    <n v="10.81"/>
    <n v="19"/>
    <n v="21"/>
    <x v="8"/>
    <x v="4"/>
    <x v="0"/>
    <n v="0"/>
    <x v="0"/>
  </r>
  <r>
    <s v="Louisville"/>
    <x v="5"/>
    <x v="0"/>
    <n v="8"/>
    <n v="40"/>
    <n v="5"/>
    <n v="19"/>
    <n v="21"/>
    <x v="8"/>
    <x v="0"/>
    <x v="0"/>
    <n v="0"/>
    <x v="0"/>
  </r>
  <r>
    <s v="Louisville"/>
    <x v="5"/>
    <x v="5"/>
    <n v="8"/>
    <n v="47"/>
    <n v="5.88"/>
    <n v="19"/>
    <n v="21"/>
    <x v="8"/>
    <x v="1"/>
    <x v="0"/>
    <n v="0"/>
    <x v="0"/>
  </r>
  <r>
    <s v="Louisville"/>
    <x v="5"/>
    <x v="10"/>
    <n v="7"/>
    <n v="38"/>
    <n v="5.43"/>
    <n v="19"/>
    <n v="21"/>
    <x v="8"/>
    <x v="2"/>
    <x v="0"/>
    <n v="0"/>
    <x v="0"/>
  </r>
  <r>
    <s v="Louisville"/>
    <x v="5"/>
    <x v="1"/>
    <n v="6"/>
    <n v="20"/>
    <n v="3.33"/>
    <n v="19"/>
    <n v="21"/>
    <x v="8"/>
    <x v="0"/>
    <x v="0"/>
    <n v="0"/>
    <x v="0"/>
  </r>
  <r>
    <s v="Louisville"/>
    <x v="5"/>
    <x v="7"/>
    <n v="6"/>
    <n v="52"/>
    <n v="8.67"/>
    <n v="19"/>
    <n v="21"/>
    <x v="8"/>
    <x v="3"/>
    <x v="0"/>
    <n v="0"/>
    <x v="0"/>
  </r>
  <r>
    <s v="Louisville"/>
    <x v="5"/>
    <x v="6"/>
    <n v="4"/>
    <n v="95"/>
    <n v="23.75"/>
    <n v="19"/>
    <n v="21"/>
    <x v="8"/>
    <x v="2"/>
    <x v="0"/>
    <n v="0"/>
    <x v="0"/>
  </r>
  <r>
    <s v="Louisville"/>
    <x v="5"/>
    <x v="9"/>
    <n v="2"/>
    <n v="23"/>
    <n v="11.5"/>
    <n v="19"/>
    <n v="21"/>
    <x v="8"/>
    <x v="1"/>
    <x v="0"/>
    <n v="0"/>
    <x v="0"/>
  </r>
  <r>
    <s v="Louisville"/>
    <x v="5"/>
    <x v="12"/>
    <n v="2"/>
    <n v="28"/>
    <n v="14"/>
    <n v="19"/>
    <n v="21"/>
    <x v="8"/>
    <x v="2"/>
    <x v="0"/>
    <n v="0"/>
    <x v="0"/>
  </r>
  <r>
    <s v="Louisville"/>
    <x v="5"/>
    <x v="2"/>
    <n v="1"/>
    <n v="3"/>
    <n v="3"/>
    <n v="19"/>
    <n v="21"/>
    <x v="8"/>
    <x v="0"/>
    <x v="0"/>
    <n v="0"/>
    <x v="0"/>
  </r>
  <r>
    <s v="Louisville"/>
    <x v="5"/>
    <x v="3"/>
    <n v="1"/>
    <n v="2"/>
    <n v="2"/>
    <n v="19"/>
    <n v="21"/>
    <x v="8"/>
    <x v="0"/>
    <x v="0"/>
    <n v="0"/>
    <x v="0"/>
  </r>
  <r>
    <s v="Louisville"/>
    <x v="5"/>
    <x v="8"/>
    <n v="1"/>
    <n v="15"/>
    <n v="15"/>
    <n v="19"/>
    <n v="21"/>
    <x v="8"/>
    <x v="2"/>
    <x v="0"/>
    <n v="0"/>
    <x v="0"/>
  </r>
  <r>
    <s v="Miami"/>
    <x v="5"/>
    <x v="0"/>
    <n v="21"/>
    <n v="74"/>
    <n v="3.52"/>
    <n v="16"/>
    <n v="16"/>
    <x v="9"/>
    <x v="0"/>
    <x v="0"/>
    <n v="0"/>
    <x v="0"/>
  </r>
  <r>
    <s v="Miami"/>
    <x v="5"/>
    <x v="13"/>
    <n v="14"/>
    <n v="71"/>
    <n v="5.07"/>
    <n v="16"/>
    <n v="16"/>
    <x v="9"/>
    <x v="4"/>
    <x v="0"/>
    <n v="0"/>
    <x v="0"/>
  </r>
  <r>
    <s v="Miami"/>
    <x v="5"/>
    <x v="1"/>
    <n v="4"/>
    <n v="15"/>
    <n v="3.75"/>
    <n v="16"/>
    <n v="16"/>
    <x v="9"/>
    <x v="0"/>
    <x v="0"/>
    <n v="0"/>
    <x v="0"/>
  </r>
  <r>
    <s v="Miami"/>
    <x v="5"/>
    <x v="5"/>
    <n v="4"/>
    <n v="58"/>
    <n v="14.5"/>
    <n v="16"/>
    <n v="16"/>
    <x v="9"/>
    <x v="1"/>
    <x v="0"/>
    <n v="0"/>
    <x v="0"/>
  </r>
  <r>
    <s v="Miami"/>
    <x v="5"/>
    <x v="12"/>
    <n v="4"/>
    <n v="33"/>
    <n v="8.25"/>
    <n v="16"/>
    <n v="16"/>
    <x v="9"/>
    <x v="2"/>
    <x v="0"/>
    <n v="0"/>
    <x v="0"/>
  </r>
  <r>
    <s v="Miami"/>
    <x v="5"/>
    <x v="7"/>
    <n v="3"/>
    <n v="15"/>
    <n v="5"/>
    <n v="16"/>
    <n v="16"/>
    <x v="9"/>
    <x v="3"/>
    <x v="0"/>
    <n v="0"/>
    <x v="0"/>
  </r>
  <r>
    <s v="Miami"/>
    <x v="5"/>
    <x v="9"/>
    <n v="1"/>
    <n v="0"/>
    <n v="0"/>
    <n v="16"/>
    <n v="16"/>
    <x v="9"/>
    <x v="1"/>
    <x v="1"/>
    <n v="1"/>
    <x v="1"/>
  </r>
  <r>
    <s v="Miami"/>
    <x v="5"/>
    <x v="4"/>
    <n v="1"/>
    <n v="0"/>
    <n v="0"/>
    <n v="16"/>
    <n v="16"/>
    <x v="9"/>
    <x v="0"/>
    <x v="1"/>
    <n v="1"/>
    <x v="1"/>
  </r>
  <r>
    <s v="Miami"/>
    <x v="5"/>
    <x v="3"/>
    <n v="1"/>
    <n v="0"/>
    <n v="0"/>
    <n v="16"/>
    <n v="16"/>
    <x v="9"/>
    <x v="0"/>
    <x v="1"/>
    <n v="1"/>
    <x v="1"/>
  </r>
  <r>
    <s v="Miami"/>
    <x v="5"/>
    <x v="10"/>
    <n v="1"/>
    <n v="0"/>
    <n v="0"/>
    <n v="16"/>
    <n v="16"/>
    <x v="9"/>
    <x v="2"/>
    <x v="1"/>
    <n v="1"/>
    <x v="1"/>
  </r>
  <r>
    <s v="Miami"/>
    <x v="5"/>
    <x v="8"/>
    <n v="1"/>
    <n v="0"/>
    <n v="0"/>
    <n v="16"/>
    <n v="16"/>
    <x v="9"/>
    <x v="2"/>
    <x v="1"/>
    <n v="1"/>
    <x v="1"/>
  </r>
  <r>
    <s v="Miami"/>
    <x v="5"/>
    <x v="6"/>
    <n v="1"/>
    <n v="6"/>
    <n v="6"/>
    <n v="16"/>
    <n v="16"/>
    <x v="9"/>
    <x v="2"/>
    <x v="0"/>
    <n v="0"/>
    <x v="0"/>
  </r>
  <r>
    <s v="Michigan"/>
    <x v="8"/>
    <x v="13"/>
    <n v="10"/>
    <n v="45"/>
    <n v="4.5"/>
    <n v="18"/>
    <n v="17"/>
    <x v="10"/>
    <x v="4"/>
    <x v="0"/>
    <n v="0"/>
    <x v="0"/>
  </r>
  <r>
    <s v="Michigan"/>
    <x v="8"/>
    <x v="0"/>
    <n v="5"/>
    <n v="25"/>
    <n v="5"/>
    <n v="18"/>
    <n v="17"/>
    <x v="10"/>
    <x v="0"/>
    <x v="0"/>
    <n v="0"/>
    <x v="0"/>
  </r>
  <r>
    <s v="Michigan"/>
    <x v="8"/>
    <x v="3"/>
    <n v="5"/>
    <n v="89"/>
    <n v="17.8"/>
    <n v="18"/>
    <n v="17"/>
    <x v="10"/>
    <x v="0"/>
    <x v="0"/>
    <n v="0"/>
    <x v="0"/>
  </r>
  <r>
    <s v="Michigan"/>
    <x v="8"/>
    <x v="5"/>
    <n v="4"/>
    <n v="22"/>
    <n v="5.5"/>
    <n v="18"/>
    <n v="17"/>
    <x v="10"/>
    <x v="1"/>
    <x v="0"/>
    <n v="0"/>
    <x v="0"/>
  </r>
  <r>
    <s v="Michigan"/>
    <x v="8"/>
    <x v="7"/>
    <n v="4"/>
    <n v="45"/>
    <n v="11.25"/>
    <n v="18"/>
    <n v="17"/>
    <x v="10"/>
    <x v="3"/>
    <x v="0"/>
    <n v="0"/>
    <x v="0"/>
  </r>
  <r>
    <s v="Michigan"/>
    <x v="8"/>
    <x v="2"/>
    <n v="2"/>
    <n v="0"/>
    <n v="0"/>
    <n v="18"/>
    <n v="17"/>
    <x v="10"/>
    <x v="0"/>
    <x v="1"/>
    <n v="1"/>
    <x v="1"/>
  </r>
  <r>
    <s v="Michigan"/>
    <x v="8"/>
    <x v="1"/>
    <n v="1"/>
    <n v="5"/>
    <n v="5"/>
    <n v="18"/>
    <n v="17"/>
    <x v="10"/>
    <x v="0"/>
    <x v="0"/>
    <n v="0"/>
    <x v="0"/>
  </r>
  <r>
    <s v="Michigan"/>
    <x v="8"/>
    <x v="9"/>
    <n v="1"/>
    <n v="5"/>
    <n v="5"/>
    <n v="18"/>
    <n v="17"/>
    <x v="10"/>
    <x v="1"/>
    <x v="0"/>
    <n v="0"/>
    <x v="0"/>
  </r>
  <r>
    <s v="Michigan"/>
    <x v="8"/>
    <x v="14"/>
    <n v="1"/>
    <n v="0"/>
    <n v="0"/>
    <n v="18"/>
    <n v="17"/>
    <x v="10"/>
    <x v="2"/>
    <x v="1"/>
    <n v="1"/>
    <x v="1"/>
  </r>
  <r>
    <s v="Michigan"/>
    <x v="8"/>
    <x v="6"/>
    <n v="1"/>
    <n v="3"/>
    <n v="3"/>
    <n v="18"/>
    <n v="17"/>
    <x v="10"/>
    <x v="2"/>
    <x v="0"/>
    <n v="0"/>
    <x v="0"/>
  </r>
  <r>
    <s v="Notre Dame"/>
    <x v="10"/>
    <x v="7"/>
    <n v="10"/>
    <n v="159"/>
    <n v="15.9"/>
    <n v="9"/>
    <n v="9"/>
    <x v="11"/>
    <x v="3"/>
    <x v="0"/>
    <n v="0"/>
    <x v="0"/>
  </r>
  <r>
    <s v="Notre Dame"/>
    <x v="10"/>
    <x v="0"/>
    <n v="9"/>
    <n v="40"/>
    <n v="4.4400000000000004"/>
    <n v="9"/>
    <n v="9"/>
    <x v="11"/>
    <x v="0"/>
    <x v="0"/>
    <n v="0"/>
    <x v="0"/>
  </r>
  <r>
    <s v="Notre Dame"/>
    <x v="10"/>
    <x v="13"/>
    <n v="8"/>
    <n v="80"/>
    <n v="10"/>
    <n v="9"/>
    <n v="9"/>
    <x v="11"/>
    <x v="4"/>
    <x v="0"/>
    <n v="0"/>
    <x v="0"/>
  </r>
  <r>
    <s v="Notre Dame"/>
    <x v="10"/>
    <x v="5"/>
    <n v="8"/>
    <n v="54"/>
    <n v="6.75"/>
    <n v="9"/>
    <n v="9"/>
    <x v="11"/>
    <x v="1"/>
    <x v="0"/>
    <n v="0"/>
    <x v="0"/>
  </r>
  <r>
    <s v="Notre Dame"/>
    <x v="10"/>
    <x v="10"/>
    <n v="3"/>
    <n v="30"/>
    <n v="10"/>
    <n v="9"/>
    <n v="9"/>
    <x v="11"/>
    <x v="2"/>
    <x v="0"/>
    <n v="0"/>
    <x v="0"/>
  </r>
  <r>
    <s v="Notre Dame"/>
    <x v="10"/>
    <x v="12"/>
    <n v="3"/>
    <n v="43"/>
    <n v="14.33"/>
    <n v="9"/>
    <n v="9"/>
    <x v="11"/>
    <x v="2"/>
    <x v="0"/>
    <n v="0"/>
    <x v="0"/>
  </r>
  <r>
    <s v="Notre Dame"/>
    <x v="10"/>
    <x v="3"/>
    <n v="2"/>
    <n v="14"/>
    <n v="7"/>
    <n v="9"/>
    <n v="9"/>
    <x v="11"/>
    <x v="0"/>
    <x v="0"/>
    <n v="0"/>
    <x v="0"/>
  </r>
  <r>
    <s v="Notre Dame"/>
    <x v="10"/>
    <x v="1"/>
    <n v="1"/>
    <n v="5"/>
    <n v="5"/>
    <n v="9"/>
    <n v="9"/>
    <x v="11"/>
    <x v="0"/>
    <x v="0"/>
    <n v="0"/>
    <x v="0"/>
  </r>
  <r>
    <s v="Notre Dame"/>
    <x v="10"/>
    <x v="9"/>
    <n v="1"/>
    <n v="8"/>
    <n v="8"/>
    <n v="9"/>
    <n v="9"/>
    <x v="11"/>
    <x v="1"/>
    <x v="0"/>
    <n v="0"/>
    <x v="0"/>
  </r>
  <r>
    <s v="Ohio State"/>
    <x v="8"/>
    <x v="0"/>
    <n v="8"/>
    <n v="40"/>
    <n v="5"/>
    <n v="1"/>
    <n v="1"/>
    <x v="12"/>
    <x v="0"/>
    <x v="0"/>
    <n v="0"/>
    <x v="0"/>
  </r>
  <r>
    <s v="Ohio State"/>
    <x v="8"/>
    <x v="13"/>
    <n v="6"/>
    <n v="30"/>
    <n v="5"/>
    <n v="1"/>
    <n v="1"/>
    <x v="12"/>
    <x v="4"/>
    <x v="0"/>
    <n v="0"/>
    <x v="0"/>
  </r>
  <r>
    <s v="Ohio State"/>
    <x v="8"/>
    <x v="3"/>
    <n v="4"/>
    <n v="5"/>
    <n v="1.25"/>
    <n v="1"/>
    <n v="1"/>
    <x v="12"/>
    <x v="0"/>
    <x v="0"/>
    <n v="0"/>
    <x v="0"/>
  </r>
  <r>
    <s v="Ohio State"/>
    <x v="8"/>
    <x v="5"/>
    <n v="4"/>
    <n v="128"/>
    <n v="32"/>
    <n v="1"/>
    <n v="1"/>
    <x v="12"/>
    <x v="1"/>
    <x v="0"/>
    <n v="0"/>
    <x v="0"/>
  </r>
  <r>
    <s v="Ohio State"/>
    <x v="8"/>
    <x v="1"/>
    <n v="3"/>
    <n v="15"/>
    <n v="5"/>
    <n v="1"/>
    <n v="1"/>
    <x v="12"/>
    <x v="0"/>
    <x v="0"/>
    <n v="0"/>
    <x v="0"/>
  </r>
  <r>
    <s v="Ohio State"/>
    <x v="8"/>
    <x v="9"/>
    <n v="2"/>
    <n v="30"/>
    <n v="15"/>
    <n v="1"/>
    <n v="1"/>
    <x v="12"/>
    <x v="1"/>
    <x v="0"/>
    <n v="0"/>
    <x v="0"/>
  </r>
  <r>
    <s v="Ohio State"/>
    <x v="8"/>
    <x v="2"/>
    <n v="2"/>
    <n v="13"/>
    <n v="6.5"/>
    <n v="1"/>
    <n v="1"/>
    <x v="12"/>
    <x v="0"/>
    <x v="0"/>
    <n v="0"/>
    <x v="0"/>
  </r>
  <r>
    <s v="Ohio State"/>
    <x v="8"/>
    <x v="7"/>
    <n v="2"/>
    <n v="23"/>
    <n v="11.5"/>
    <n v="1"/>
    <n v="1"/>
    <x v="12"/>
    <x v="3"/>
    <x v="0"/>
    <n v="0"/>
    <x v="0"/>
  </r>
  <r>
    <s v="Ohio State"/>
    <x v="8"/>
    <x v="10"/>
    <n v="2"/>
    <n v="15"/>
    <n v="7.5"/>
    <n v="1"/>
    <n v="1"/>
    <x v="12"/>
    <x v="2"/>
    <x v="0"/>
    <n v="0"/>
    <x v="0"/>
  </r>
  <r>
    <s v="Ohio State"/>
    <x v="8"/>
    <x v="12"/>
    <n v="2"/>
    <n v="30"/>
    <n v="15"/>
    <n v="1"/>
    <n v="1"/>
    <x v="12"/>
    <x v="2"/>
    <x v="0"/>
    <n v="0"/>
    <x v="0"/>
  </r>
  <r>
    <s v="Ohio State"/>
    <x v="8"/>
    <x v="6"/>
    <n v="2"/>
    <n v="0"/>
    <n v="0"/>
    <n v="1"/>
    <n v="1"/>
    <x v="12"/>
    <x v="2"/>
    <x v="1"/>
    <n v="1"/>
    <x v="1"/>
  </r>
  <r>
    <s v="Oklahoma"/>
    <x v="2"/>
    <x v="13"/>
    <n v="14"/>
    <n v="70"/>
    <n v="5"/>
    <n v="11"/>
    <n v="10"/>
    <x v="13"/>
    <x v="4"/>
    <x v="0"/>
    <n v="0"/>
    <x v="0"/>
  </r>
  <r>
    <s v="Oklahoma"/>
    <x v="2"/>
    <x v="0"/>
    <n v="11"/>
    <n v="35"/>
    <n v="3.18"/>
    <n v="11"/>
    <n v="10"/>
    <x v="13"/>
    <x v="0"/>
    <x v="0"/>
    <n v="0"/>
    <x v="0"/>
  </r>
  <r>
    <s v="Oklahoma"/>
    <x v="2"/>
    <x v="5"/>
    <n v="6"/>
    <n v="25"/>
    <n v="4.17"/>
    <n v="11"/>
    <n v="10"/>
    <x v="13"/>
    <x v="1"/>
    <x v="0"/>
    <n v="0"/>
    <x v="0"/>
  </r>
  <r>
    <s v="Oklahoma"/>
    <x v="2"/>
    <x v="7"/>
    <n v="6"/>
    <n v="48"/>
    <n v="8"/>
    <n v="11"/>
    <n v="10"/>
    <x v="13"/>
    <x v="3"/>
    <x v="0"/>
    <n v="0"/>
    <x v="0"/>
  </r>
  <r>
    <s v="Oklahoma"/>
    <x v="2"/>
    <x v="10"/>
    <n v="4"/>
    <n v="33"/>
    <n v="8.25"/>
    <n v="11"/>
    <n v="10"/>
    <x v="13"/>
    <x v="2"/>
    <x v="0"/>
    <n v="0"/>
    <x v="0"/>
  </r>
  <r>
    <s v="Oklahoma"/>
    <x v="2"/>
    <x v="1"/>
    <n v="3"/>
    <n v="15"/>
    <n v="5"/>
    <n v="11"/>
    <n v="10"/>
    <x v="13"/>
    <x v="0"/>
    <x v="0"/>
    <n v="0"/>
    <x v="0"/>
  </r>
  <r>
    <s v="Oklahoma"/>
    <x v="2"/>
    <x v="2"/>
    <n v="3"/>
    <n v="10"/>
    <n v="3.33"/>
    <n v="11"/>
    <n v="10"/>
    <x v="13"/>
    <x v="0"/>
    <x v="0"/>
    <n v="0"/>
    <x v="0"/>
  </r>
  <r>
    <s v="Oklahoma"/>
    <x v="2"/>
    <x v="9"/>
    <n v="2"/>
    <n v="24"/>
    <n v="12"/>
    <n v="11"/>
    <n v="10"/>
    <x v="13"/>
    <x v="1"/>
    <x v="0"/>
    <n v="0"/>
    <x v="0"/>
  </r>
  <r>
    <s v="Oklahoma"/>
    <x v="2"/>
    <x v="3"/>
    <n v="1"/>
    <n v="0"/>
    <n v="0"/>
    <n v="11"/>
    <n v="10"/>
    <x v="13"/>
    <x v="0"/>
    <x v="1"/>
    <n v="1"/>
    <x v="1"/>
  </r>
  <r>
    <s v="Oklahoma"/>
    <x v="2"/>
    <x v="12"/>
    <n v="1"/>
    <n v="0"/>
    <n v="0"/>
    <n v="11"/>
    <n v="10"/>
    <x v="13"/>
    <x v="2"/>
    <x v="1"/>
    <n v="1"/>
    <x v="1"/>
  </r>
  <r>
    <s v="Ole Miss"/>
    <x v="2"/>
    <x v="13"/>
    <n v="19"/>
    <n v="164"/>
    <n v="8.6300000000000008"/>
    <n v="6"/>
    <n v="7"/>
    <x v="14"/>
    <x v="4"/>
    <x v="0"/>
    <n v="0"/>
    <x v="0"/>
  </r>
  <r>
    <s v="Ole Miss"/>
    <x v="2"/>
    <x v="0"/>
    <n v="10"/>
    <n v="19"/>
    <n v="1.9"/>
    <n v="6"/>
    <n v="7"/>
    <x v="14"/>
    <x v="0"/>
    <x v="0"/>
    <n v="0"/>
    <x v="0"/>
  </r>
  <r>
    <s v="Ole Miss"/>
    <x v="2"/>
    <x v="5"/>
    <n v="8"/>
    <n v="50"/>
    <n v="6.25"/>
    <n v="6"/>
    <n v="7"/>
    <x v="14"/>
    <x v="1"/>
    <x v="0"/>
    <n v="0"/>
    <x v="0"/>
  </r>
  <r>
    <s v="Ole Miss"/>
    <x v="2"/>
    <x v="7"/>
    <n v="7"/>
    <n v="139"/>
    <n v="19.86"/>
    <n v="6"/>
    <n v="7"/>
    <x v="14"/>
    <x v="3"/>
    <x v="0"/>
    <n v="0"/>
    <x v="0"/>
  </r>
  <r>
    <s v="Ole Miss"/>
    <x v="2"/>
    <x v="1"/>
    <n v="4"/>
    <n v="20"/>
    <n v="5"/>
    <n v="6"/>
    <n v="7"/>
    <x v="14"/>
    <x v="0"/>
    <x v="0"/>
    <n v="0"/>
    <x v="0"/>
  </r>
  <r>
    <s v="Ole Miss"/>
    <x v="2"/>
    <x v="3"/>
    <n v="4"/>
    <n v="9"/>
    <n v="2.25"/>
    <n v="6"/>
    <n v="7"/>
    <x v="14"/>
    <x v="0"/>
    <x v="0"/>
    <n v="0"/>
    <x v="0"/>
  </r>
  <r>
    <s v="Ole Miss"/>
    <x v="2"/>
    <x v="9"/>
    <n v="3"/>
    <n v="62"/>
    <n v="20.67"/>
    <n v="6"/>
    <n v="7"/>
    <x v="14"/>
    <x v="1"/>
    <x v="0"/>
    <n v="0"/>
    <x v="0"/>
  </r>
  <r>
    <s v="Ole Miss"/>
    <x v="2"/>
    <x v="2"/>
    <n v="3"/>
    <n v="100"/>
    <n v="33.33"/>
    <n v="6"/>
    <n v="7"/>
    <x v="14"/>
    <x v="0"/>
    <x v="0"/>
    <n v="0"/>
    <x v="0"/>
  </r>
  <r>
    <s v="Ole Miss"/>
    <x v="2"/>
    <x v="11"/>
    <n v="3"/>
    <n v="45"/>
    <n v="15"/>
    <n v="6"/>
    <n v="7"/>
    <x v="14"/>
    <x v="2"/>
    <x v="0"/>
    <n v="0"/>
    <x v="0"/>
  </r>
  <r>
    <s v="Ole Miss"/>
    <x v="2"/>
    <x v="10"/>
    <n v="2"/>
    <n v="1"/>
    <n v="0.5"/>
    <n v="6"/>
    <n v="7"/>
    <x v="14"/>
    <x v="2"/>
    <x v="0"/>
    <n v="0"/>
    <x v="0"/>
  </r>
  <r>
    <s v="Ole Miss"/>
    <x v="2"/>
    <x v="6"/>
    <n v="1"/>
    <n v="15"/>
    <n v="15"/>
    <n v="6"/>
    <n v="7"/>
    <x v="14"/>
    <x v="2"/>
    <x v="0"/>
    <n v="0"/>
    <x v="0"/>
  </r>
  <r>
    <s v="Oregon"/>
    <x v="8"/>
    <x v="13"/>
    <n v="14"/>
    <n v="123"/>
    <n v="8.7899999999999991"/>
    <n v="7"/>
    <n v="6"/>
    <x v="15"/>
    <x v="4"/>
    <x v="0"/>
    <n v="0"/>
    <x v="0"/>
  </r>
  <r>
    <s v="Oregon"/>
    <x v="8"/>
    <x v="0"/>
    <n v="11"/>
    <n v="49"/>
    <n v="4.45"/>
    <n v="7"/>
    <n v="6"/>
    <x v="15"/>
    <x v="0"/>
    <x v="0"/>
    <n v="0"/>
    <x v="0"/>
  </r>
  <r>
    <s v="Oregon"/>
    <x v="8"/>
    <x v="3"/>
    <n v="8"/>
    <n v="47"/>
    <n v="5.88"/>
    <n v="7"/>
    <n v="6"/>
    <x v="15"/>
    <x v="0"/>
    <x v="0"/>
    <n v="0"/>
    <x v="0"/>
  </r>
  <r>
    <s v="Oregon"/>
    <x v="8"/>
    <x v="5"/>
    <n v="8"/>
    <n v="49"/>
    <n v="6.12"/>
    <n v="7"/>
    <n v="6"/>
    <x v="15"/>
    <x v="1"/>
    <x v="0"/>
    <n v="0"/>
    <x v="0"/>
  </r>
  <r>
    <s v="Oregon"/>
    <x v="8"/>
    <x v="9"/>
    <n v="3"/>
    <n v="35"/>
    <n v="11.67"/>
    <n v="7"/>
    <n v="6"/>
    <x v="15"/>
    <x v="1"/>
    <x v="0"/>
    <n v="0"/>
    <x v="0"/>
  </r>
  <r>
    <s v="Oregon"/>
    <x v="8"/>
    <x v="7"/>
    <n v="3"/>
    <n v="28"/>
    <n v="9.33"/>
    <n v="7"/>
    <n v="6"/>
    <x v="15"/>
    <x v="3"/>
    <x v="0"/>
    <n v="0"/>
    <x v="0"/>
  </r>
  <r>
    <s v="Oregon"/>
    <x v="8"/>
    <x v="6"/>
    <n v="3"/>
    <n v="30"/>
    <n v="10"/>
    <n v="7"/>
    <n v="6"/>
    <x v="15"/>
    <x v="2"/>
    <x v="0"/>
    <n v="0"/>
    <x v="0"/>
  </r>
  <r>
    <s v="Oregon"/>
    <x v="8"/>
    <x v="1"/>
    <n v="1"/>
    <n v="5"/>
    <n v="5"/>
    <n v="7"/>
    <n v="6"/>
    <x v="15"/>
    <x v="0"/>
    <x v="0"/>
    <n v="0"/>
    <x v="0"/>
  </r>
  <r>
    <s v="Oregon"/>
    <x v="8"/>
    <x v="2"/>
    <n v="1"/>
    <n v="41"/>
    <n v="41"/>
    <n v="7"/>
    <n v="6"/>
    <x v="15"/>
    <x v="0"/>
    <x v="0"/>
    <n v="0"/>
    <x v="0"/>
  </r>
  <r>
    <s v="Oregon"/>
    <x v="8"/>
    <x v="10"/>
    <n v="1"/>
    <n v="15"/>
    <n v="15"/>
    <n v="7"/>
    <n v="6"/>
    <x v="15"/>
    <x v="2"/>
    <x v="0"/>
    <n v="0"/>
    <x v="0"/>
  </r>
  <r>
    <s v="Oregon"/>
    <x v="8"/>
    <x v="12"/>
    <n v="1"/>
    <n v="0"/>
    <n v="0"/>
    <n v="7"/>
    <n v="6"/>
    <x v="15"/>
    <x v="2"/>
    <x v="1"/>
    <n v="1"/>
    <x v="1"/>
  </r>
  <r>
    <s v="Oregon"/>
    <x v="8"/>
    <x v="8"/>
    <n v="1"/>
    <n v="7"/>
    <n v="7"/>
    <n v="7"/>
    <n v="6"/>
    <x v="15"/>
    <x v="2"/>
    <x v="0"/>
    <n v="0"/>
    <x v="0"/>
  </r>
  <r>
    <s v="Pittsburgh"/>
    <x v="5"/>
    <x v="13"/>
    <n v="18"/>
    <n v="163"/>
    <n v="9.06"/>
    <n v="23"/>
    <n v="23"/>
    <x v="16"/>
    <x v="4"/>
    <x v="0"/>
    <n v="0"/>
    <x v="0"/>
  </r>
  <r>
    <s v="Pittsburgh"/>
    <x v="5"/>
    <x v="5"/>
    <n v="17"/>
    <n v="174"/>
    <n v="10.24"/>
    <n v="23"/>
    <n v="23"/>
    <x v="16"/>
    <x v="1"/>
    <x v="0"/>
    <n v="0"/>
    <x v="0"/>
  </r>
  <r>
    <s v="Pittsburgh"/>
    <x v="5"/>
    <x v="0"/>
    <n v="14"/>
    <n v="70"/>
    <n v="5"/>
    <n v="23"/>
    <n v="23"/>
    <x v="16"/>
    <x v="0"/>
    <x v="0"/>
    <n v="0"/>
    <x v="0"/>
  </r>
  <r>
    <s v="Pittsburgh"/>
    <x v="5"/>
    <x v="7"/>
    <n v="9"/>
    <n v="136"/>
    <n v="15.11"/>
    <n v="23"/>
    <n v="23"/>
    <x v="16"/>
    <x v="3"/>
    <x v="0"/>
    <n v="0"/>
    <x v="0"/>
  </r>
  <r>
    <s v="Pittsburgh"/>
    <x v="5"/>
    <x v="10"/>
    <n v="7"/>
    <n v="61"/>
    <n v="8.7100000000000009"/>
    <n v="23"/>
    <n v="23"/>
    <x v="16"/>
    <x v="2"/>
    <x v="0"/>
    <n v="0"/>
    <x v="0"/>
  </r>
  <r>
    <s v="Pittsburgh"/>
    <x v="5"/>
    <x v="3"/>
    <n v="6"/>
    <n v="18"/>
    <n v="3"/>
    <n v="23"/>
    <n v="23"/>
    <x v="16"/>
    <x v="0"/>
    <x v="0"/>
    <n v="0"/>
    <x v="0"/>
  </r>
  <r>
    <s v="Pittsburgh"/>
    <x v="5"/>
    <x v="9"/>
    <n v="5"/>
    <n v="54"/>
    <n v="10.8"/>
    <n v="23"/>
    <n v="23"/>
    <x v="16"/>
    <x v="1"/>
    <x v="0"/>
    <n v="0"/>
    <x v="0"/>
  </r>
  <r>
    <s v="Pittsburgh"/>
    <x v="5"/>
    <x v="6"/>
    <n v="4"/>
    <n v="30"/>
    <n v="7.5"/>
    <n v="23"/>
    <n v="23"/>
    <x v="16"/>
    <x v="2"/>
    <x v="0"/>
    <n v="0"/>
    <x v="0"/>
  </r>
  <r>
    <s v="Pittsburgh"/>
    <x v="5"/>
    <x v="1"/>
    <n v="3"/>
    <n v="15"/>
    <n v="5"/>
    <n v="23"/>
    <n v="23"/>
    <x v="16"/>
    <x v="0"/>
    <x v="0"/>
    <n v="0"/>
    <x v="0"/>
  </r>
  <r>
    <s v="Pittsburgh"/>
    <x v="5"/>
    <x v="12"/>
    <n v="2"/>
    <n v="46"/>
    <n v="23"/>
    <n v="23"/>
    <n v="23"/>
    <x v="16"/>
    <x v="2"/>
    <x v="0"/>
    <n v="0"/>
    <x v="0"/>
  </r>
  <r>
    <s v="Pittsburgh"/>
    <x v="5"/>
    <x v="4"/>
    <n v="1"/>
    <n v="5"/>
    <n v="5"/>
    <n v="23"/>
    <n v="23"/>
    <x v="16"/>
    <x v="0"/>
    <x v="0"/>
    <n v="0"/>
    <x v="0"/>
  </r>
  <r>
    <s v="Pittsburgh"/>
    <x v="5"/>
    <x v="8"/>
    <n v="1"/>
    <n v="0"/>
    <n v="0"/>
    <n v="23"/>
    <n v="23"/>
    <x v="16"/>
    <x v="2"/>
    <x v="1"/>
    <n v="1"/>
    <x v="1"/>
  </r>
  <r>
    <s v="Tennessee"/>
    <x v="2"/>
    <x v="0"/>
    <n v="16"/>
    <n v="65"/>
    <n v="4.0599999999999996"/>
    <n v="21"/>
    <n v="20"/>
    <x v="17"/>
    <x v="0"/>
    <x v="0"/>
    <n v="0"/>
    <x v="0"/>
  </r>
  <r>
    <s v="Tennessee"/>
    <x v="2"/>
    <x v="13"/>
    <n v="13"/>
    <n v="119"/>
    <n v="9.15"/>
    <n v="21"/>
    <n v="20"/>
    <x v="17"/>
    <x v="4"/>
    <x v="0"/>
    <n v="0"/>
    <x v="0"/>
  </r>
  <r>
    <s v="Tennessee"/>
    <x v="2"/>
    <x v="7"/>
    <n v="11"/>
    <n v="167"/>
    <n v="15.18"/>
    <n v="21"/>
    <n v="20"/>
    <x v="17"/>
    <x v="3"/>
    <x v="0"/>
    <n v="0"/>
    <x v="0"/>
  </r>
  <r>
    <s v="Tennessee"/>
    <x v="2"/>
    <x v="5"/>
    <n v="10"/>
    <n v="93"/>
    <n v="9.3000000000000007"/>
    <n v="21"/>
    <n v="20"/>
    <x v="17"/>
    <x v="1"/>
    <x v="0"/>
    <n v="0"/>
    <x v="0"/>
  </r>
  <r>
    <s v="Tennessee"/>
    <x v="2"/>
    <x v="10"/>
    <n v="7"/>
    <n v="44"/>
    <n v="6.29"/>
    <n v="21"/>
    <n v="20"/>
    <x v="17"/>
    <x v="2"/>
    <x v="0"/>
    <n v="0"/>
    <x v="0"/>
  </r>
  <r>
    <s v="Tennessee"/>
    <x v="2"/>
    <x v="3"/>
    <n v="5"/>
    <n v="25"/>
    <n v="5"/>
    <n v="21"/>
    <n v="20"/>
    <x v="17"/>
    <x v="0"/>
    <x v="0"/>
    <n v="0"/>
    <x v="0"/>
  </r>
  <r>
    <s v="Tennessee"/>
    <x v="2"/>
    <x v="6"/>
    <n v="3"/>
    <n v="65"/>
    <n v="21.67"/>
    <n v="21"/>
    <n v="20"/>
    <x v="17"/>
    <x v="2"/>
    <x v="0"/>
    <n v="0"/>
    <x v="0"/>
  </r>
  <r>
    <s v="Tennessee"/>
    <x v="2"/>
    <x v="1"/>
    <n v="2"/>
    <n v="9"/>
    <n v="4.5"/>
    <n v="21"/>
    <n v="20"/>
    <x v="17"/>
    <x v="0"/>
    <x v="0"/>
    <n v="0"/>
    <x v="0"/>
  </r>
  <r>
    <s v="Tennessee"/>
    <x v="2"/>
    <x v="9"/>
    <n v="2"/>
    <n v="14"/>
    <n v="7"/>
    <n v="21"/>
    <n v="20"/>
    <x v="17"/>
    <x v="1"/>
    <x v="0"/>
    <n v="0"/>
    <x v="0"/>
  </r>
  <r>
    <s v="Tennessee"/>
    <x v="2"/>
    <x v="2"/>
    <n v="2"/>
    <n v="29"/>
    <n v="14.5"/>
    <n v="21"/>
    <n v="20"/>
    <x v="17"/>
    <x v="0"/>
    <x v="0"/>
    <n v="0"/>
    <x v="0"/>
  </r>
  <r>
    <s v="Tennessee"/>
    <x v="2"/>
    <x v="12"/>
    <n v="2"/>
    <n v="15"/>
    <n v="7.5"/>
    <n v="21"/>
    <n v="20"/>
    <x v="17"/>
    <x v="2"/>
    <x v="0"/>
    <n v="0"/>
    <x v="0"/>
  </r>
  <r>
    <s v="Texas"/>
    <x v="2"/>
    <x v="0"/>
    <n v="21"/>
    <n v="95"/>
    <n v="4.5199999999999996"/>
    <n v="10"/>
    <n v="10"/>
    <x v="18"/>
    <x v="0"/>
    <x v="0"/>
    <n v="0"/>
    <x v="0"/>
  </r>
  <r>
    <s v="Texas"/>
    <x v="2"/>
    <x v="13"/>
    <n v="17"/>
    <n v="108"/>
    <n v="6.35"/>
    <n v="10"/>
    <n v="10"/>
    <x v="18"/>
    <x v="4"/>
    <x v="0"/>
    <n v="0"/>
    <x v="0"/>
  </r>
  <r>
    <s v="Texas"/>
    <x v="2"/>
    <x v="5"/>
    <n v="11"/>
    <n v="43"/>
    <n v="3.91"/>
    <n v="10"/>
    <n v="10"/>
    <x v="18"/>
    <x v="1"/>
    <x v="0"/>
    <n v="0"/>
    <x v="0"/>
  </r>
  <r>
    <s v="Texas"/>
    <x v="2"/>
    <x v="7"/>
    <n v="4"/>
    <n v="32"/>
    <n v="8"/>
    <n v="10"/>
    <n v="10"/>
    <x v="18"/>
    <x v="3"/>
    <x v="0"/>
    <n v="0"/>
    <x v="0"/>
  </r>
  <r>
    <s v="Texas"/>
    <x v="2"/>
    <x v="1"/>
    <n v="3"/>
    <n v="15"/>
    <n v="5"/>
    <n v="10"/>
    <n v="10"/>
    <x v="18"/>
    <x v="0"/>
    <x v="0"/>
    <n v="0"/>
    <x v="0"/>
  </r>
  <r>
    <s v="Texas"/>
    <x v="2"/>
    <x v="3"/>
    <n v="3"/>
    <n v="8"/>
    <n v="2.67"/>
    <n v="10"/>
    <n v="10"/>
    <x v="18"/>
    <x v="0"/>
    <x v="0"/>
    <n v="0"/>
    <x v="0"/>
  </r>
  <r>
    <s v="Texas"/>
    <x v="2"/>
    <x v="9"/>
    <n v="2"/>
    <n v="15"/>
    <n v="7.5"/>
    <n v="10"/>
    <n v="10"/>
    <x v="18"/>
    <x v="1"/>
    <x v="0"/>
    <n v="0"/>
    <x v="0"/>
  </r>
  <r>
    <s v="Texas"/>
    <x v="2"/>
    <x v="12"/>
    <n v="2"/>
    <n v="21"/>
    <n v="10.5"/>
    <n v="10"/>
    <n v="10"/>
    <x v="18"/>
    <x v="2"/>
    <x v="0"/>
    <n v="0"/>
    <x v="0"/>
  </r>
  <r>
    <s v="Texas"/>
    <x v="2"/>
    <x v="2"/>
    <n v="1"/>
    <n v="5"/>
    <n v="5"/>
    <n v="10"/>
    <n v="10"/>
    <x v="18"/>
    <x v="0"/>
    <x v="0"/>
    <n v="0"/>
    <x v="0"/>
  </r>
  <r>
    <s v="Texas A&amp;M"/>
    <x v="2"/>
    <x v="13"/>
    <n v="18"/>
    <n v="167"/>
    <n v="9.2799999999999994"/>
    <n v="3"/>
    <n v="3"/>
    <x v="19"/>
    <x v="4"/>
    <x v="0"/>
    <n v="0"/>
    <x v="0"/>
  </r>
  <r>
    <s v="Texas A&amp;M"/>
    <x v="2"/>
    <x v="0"/>
    <n v="16"/>
    <n v="20"/>
    <n v="1.25"/>
    <n v="3"/>
    <n v="3"/>
    <x v="19"/>
    <x v="0"/>
    <x v="0"/>
    <n v="0"/>
    <x v="0"/>
  </r>
  <r>
    <s v="Texas A&amp;M"/>
    <x v="2"/>
    <x v="5"/>
    <n v="8"/>
    <n v="42"/>
    <n v="5.25"/>
    <n v="3"/>
    <n v="3"/>
    <x v="19"/>
    <x v="1"/>
    <x v="0"/>
    <n v="0"/>
    <x v="0"/>
  </r>
  <r>
    <s v="Texas A&amp;M"/>
    <x v="2"/>
    <x v="7"/>
    <n v="5"/>
    <n v="26"/>
    <n v="5.2"/>
    <n v="3"/>
    <n v="3"/>
    <x v="19"/>
    <x v="3"/>
    <x v="0"/>
    <n v="0"/>
    <x v="0"/>
  </r>
  <r>
    <s v="Texas A&amp;M"/>
    <x v="2"/>
    <x v="10"/>
    <n v="5"/>
    <n v="15"/>
    <n v="3"/>
    <n v="3"/>
    <n v="3"/>
    <x v="19"/>
    <x v="2"/>
    <x v="0"/>
    <n v="0"/>
    <x v="0"/>
  </r>
  <r>
    <s v="Texas A&amp;M"/>
    <x v="2"/>
    <x v="1"/>
    <n v="4"/>
    <n v="20"/>
    <n v="5"/>
    <n v="3"/>
    <n v="3"/>
    <x v="19"/>
    <x v="0"/>
    <x v="0"/>
    <n v="0"/>
    <x v="0"/>
  </r>
  <r>
    <s v="Texas A&amp;M"/>
    <x v="2"/>
    <x v="3"/>
    <n v="3"/>
    <n v="5"/>
    <n v="1.67"/>
    <n v="3"/>
    <n v="3"/>
    <x v="19"/>
    <x v="0"/>
    <x v="0"/>
    <n v="0"/>
    <x v="0"/>
  </r>
  <r>
    <s v="Texas A&amp;M"/>
    <x v="2"/>
    <x v="6"/>
    <n v="3"/>
    <n v="15"/>
    <n v="5"/>
    <n v="3"/>
    <n v="3"/>
    <x v="19"/>
    <x v="2"/>
    <x v="0"/>
    <n v="0"/>
    <x v="0"/>
  </r>
  <r>
    <s v="Texas A&amp;M"/>
    <x v="2"/>
    <x v="9"/>
    <n v="1"/>
    <n v="1"/>
    <n v="1"/>
    <n v="3"/>
    <n v="3"/>
    <x v="19"/>
    <x v="1"/>
    <x v="0"/>
    <n v="0"/>
    <x v="0"/>
  </r>
  <r>
    <s v="Texas A&amp;M"/>
    <x v="2"/>
    <x v="2"/>
    <n v="1"/>
    <n v="5"/>
    <n v="5"/>
    <n v="3"/>
    <n v="3"/>
    <x v="19"/>
    <x v="0"/>
    <x v="0"/>
    <n v="0"/>
    <x v="0"/>
  </r>
  <r>
    <s v="Texas A&amp;M"/>
    <x v="2"/>
    <x v="12"/>
    <n v="1"/>
    <n v="15"/>
    <n v="15"/>
    <n v="3"/>
    <n v="3"/>
    <x v="19"/>
    <x v="2"/>
    <x v="0"/>
    <n v="0"/>
    <x v="0"/>
  </r>
  <r>
    <s v="Texas Tech"/>
    <x v="1"/>
    <x v="0"/>
    <n v="23"/>
    <n v="80"/>
    <n v="3.48"/>
    <n v="8"/>
    <n v="8"/>
    <x v="20"/>
    <x v="0"/>
    <x v="0"/>
    <n v="0"/>
    <x v="0"/>
  </r>
  <r>
    <s v="Texas Tech"/>
    <x v="1"/>
    <x v="13"/>
    <n v="15"/>
    <n v="106"/>
    <n v="7.07"/>
    <n v="8"/>
    <n v="8"/>
    <x v="20"/>
    <x v="4"/>
    <x v="0"/>
    <n v="0"/>
    <x v="0"/>
  </r>
  <r>
    <s v="Texas Tech"/>
    <x v="1"/>
    <x v="5"/>
    <n v="7"/>
    <n v="27"/>
    <n v="3.86"/>
    <n v="8"/>
    <n v="8"/>
    <x v="20"/>
    <x v="1"/>
    <x v="0"/>
    <n v="0"/>
    <x v="0"/>
  </r>
  <r>
    <s v="Texas Tech"/>
    <x v="1"/>
    <x v="3"/>
    <n v="6"/>
    <n v="70"/>
    <n v="11.67"/>
    <n v="8"/>
    <n v="8"/>
    <x v="20"/>
    <x v="0"/>
    <x v="0"/>
    <n v="0"/>
    <x v="0"/>
  </r>
  <r>
    <s v="Texas Tech"/>
    <x v="1"/>
    <x v="7"/>
    <n v="5"/>
    <n v="56"/>
    <n v="11.2"/>
    <n v="8"/>
    <n v="8"/>
    <x v="20"/>
    <x v="3"/>
    <x v="0"/>
    <n v="0"/>
    <x v="0"/>
  </r>
  <r>
    <s v="Texas Tech"/>
    <x v="1"/>
    <x v="9"/>
    <n v="2"/>
    <n v="17"/>
    <n v="8.5"/>
    <n v="8"/>
    <n v="8"/>
    <x v="20"/>
    <x v="1"/>
    <x v="0"/>
    <n v="0"/>
    <x v="0"/>
  </r>
  <r>
    <s v="Texas Tech"/>
    <x v="1"/>
    <x v="10"/>
    <n v="2"/>
    <n v="15"/>
    <n v="7.5"/>
    <n v="8"/>
    <n v="8"/>
    <x v="20"/>
    <x v="2"/>
    <x v="0"/>
    <n v="0"/>
    <x v="0"/>
  </r>
  <r>
    <s v="Texas Tech"/>
    <x v="1"/>
    <x v="6"/>
    <n v="2"/>
    <n v="27"/>
    <n v="13.5"/>
    <n v="8"/>
    <n v="8"/>
    <x v="20"/>
    <x v="2"/>
    <x v="0"/>
    <n v="0"/>
    <x v="0"/>
  </r>
  <r>
    <s v="Texas Tech"/>
    <x v="1"/>
    <x v="4"/>
    <n v="1"/>
    <n v="1"/>
    <n v="1"/>
    <n v="8"/>
    <n v="8"/>
    <x v="20"/>
    <x v="0"/>
    <x v="0"/>
    <n v="0"/>
    <x v="0"/>
  </r>
  <r>
    <s v="Texas Tech"/>
    <x v="1"/>
    <x v="12"/>
    <n v="1"/>
    <n v="12"/>
    <n v="12"/>
    <n v="8"/>
    <n v="8"/>
    <x v="20"/>
    <x v="2"/>
    <x v="0"/>
    <n v="0"/>
    <x v="0"/>
  </r>
  <r>
    <s v="USC"/>
    <x v="8"/>
    <x v="7"/>
    <n v="15"/>
    <n v="176"/>
    <n v="11.73"/>
    <n v="17"/>
    <n v="18"/>
    <x v="21"/>
    <x v="3"/>
    <x v="0"/>
    <n v="0"/>
    <x v="0"/>
  </r>
  <r>
    <s v="USC"/>
    <x v="8"/>
    <x v="5"/>
    <n v="13"/>
    <n v="135"/>
    <n v="10.38"/>
    <n v="17"/>
    <n v="18"/>
    <x v="21"/>
    <x v="1"/>
    <x v="0"/>
    <n v="0"/>
    <x v="0"/>
  </r>
  <r>
    <s v="USC"/>
    <x v="8"/>
    <x v="0"/>
    <n v="8"/>
    <n v="39"/>
    <n v="4.88"/>
    <n v="17"/>
    <n v="18"/>
    <x v="21"/>
    <x v="0"/>
    <x v="0"/>
    <n v="0"/>
    <x v="0"/>
  </r>
  <r>
    <s v="USC"/>
    <x v="8"/>
    <x v="13"/>
    <n v="5"/>
    <n v="21"/>
    <n v="4.2"/>
    <n v="17"/>
    <n v="18"/>
    <x v="21"/>
    <x v="4"/>
    <x v="0"/>
    <n v="0"/>
    <x v="0"/>
  </r>
  <r>
    <s v="USC"/>
    <x v="8"/>
    <x v="1"/>
    <n v="4"/>
    <n v="21"/>
    <n v="5.25"/>
    <n v="17"/>
    <n v="18"/>
    <x v="21"/>
    <x v="0"/>
    <x v="0"/>
    <n v="0"/>
    <x v="0"/>
  </r>
  <r>
    <s v="USC"/>
    <x v="8"/>
    <x v="3"/>
    <n v="4"/>
    <n v="27"/>
    <n v="6.75"/>
    <n v="17"/>
    <n v="18"/>
    <x v="21"/>
    <x v="0"/>
    <x v="0"/>
    <n v="0"/>
    <x v="0"/>
  </r>
  <r>
    <s v="USC"/>
    <x v="8"/>
    <x v="2"/>
    <n v="3"/>
    <n v="46"/>
    <n v="15.33"/>
    <n v="17"/>
    <n v="18"/>
    <x v="21"/>
    <x v="0"/>
    <x v="0"/>
    <n v="0"/>
    <x v="0"/>
  </r>
  <r>
    <s v="USC"/>
    <x v="8"/>
    <x v="9"/>
    <n v="2"/>
    <n v="14"/>
    <n v="7"/>
    <n v="17"/>
    <n v="18"/>
    <x v="21"/>
    <x v="1"/>
    <x v="0"/>
    <n v="0"/>
    <x v="0"/>
  </r>
  <r>
    <s v="USC"/>
    <x v="8"/>
    <x v="6"/>
    <n v="2"/>
    <n v="1"/>
    <n v="0.5"/>
    <n v="17"/>
    <n v="18"/>
    <x v="21"/>
    <x v="2"/>
    <x v="0"/>
    <n v="0"/>
    <x v="0"/>
  </r>
  <r>
    <s v="USC"/>
    <x v="8"/>
    <x v="10"/>
    <n v="1"/>
    <n v="0"/>
    <n v="0"/>
    <n v="17"/>
    <n v="18"/>
    <x v="21"/>
    <x v="2"/>
    <x v="1"/>
    <n v="1"/>
    <x v="1"/>
  </r>
  <r>
    <s v="Utah"/>
    <x v="1"/>
    <x v="7"/>
    <n v="13"/>
    <n v="87"/>
    <n v="6.69"/>
    <n v="15"/>
    <n v="15"/>
    <x v="22"/>
    <x v="3"/>
    <x v="0"/>
    <n v="0"/>
    <x v="0"/>
  </r>
  <r>
    <s v="Utah"/>
    <x v="1"/>
    <x v="13"/>
    <n v="11"/>
    <n v="61"/>
    <n v="5.55"/>
    <n v="15"/>
    <n v="15"/>
    <x v="22"/>
    <x v="4"/>
    <x v="0"/>
    <n v="0"/>
    <x v="0"/>
  </r>
  <r>
    <s v="Utah"/>
    <x v="1"/>
    <x v="5"/>
    <n v="10"/>
    <n v="37"/>
    <n v="3.7"/>
    <n v="15"/>
    <n v="15"/>
    <x v="22"/>
    <x v="1"/>
    <x v="0"/>
    <n v="0"/>
    <x v="0"/>
  </r>
  <r>
    <s v="Utah"/>
    <x v="1"/>
    <x v="0"/>
    <n v="9"/>
    <n v="26"/>
    <n v="2.89"/>
    <n v="15"/>
    <n v="15"/>
    <x v="22"/>
    <x v="0"/>
    <x v="0"/>
    <n v="0"/>
    <x v="0"/>
  </r>
  <r>
    <s v="Utah"/>
    <x v="1"/>
    <x v="10"/>
    <n v="5"/>
    <n v="17"/>
    <n v="3.4"/>
    <n v="15"/>
    <n v="15"/>
    <x v="22"/>
    <x v="2"/>
    <x v="0"/>
    <n v="0"/>
    <x v="0"/>
  </r>
  <r>
    <s v="Utah"/>
    <x v="1"/>
    <x v="9"/>
    <n v="3"/>
    <n v="26"/>
    <n v="8.67"/>
    <n v="15"/>
    <n v="15"/>
    <x v="22"/>
    <x v="1"/>
    <x v="0"/>
    <n v="0"/>
    <x v="0"/>
  </r>
  <r>
    <s v="Utah"/>
    <x v="1"/>
    <x v="1"/>
    <n v="2"/>
    <n v="10"/>
    <n v="5"/>
    <n v="15"/>
    <n v="15"/>
    <x v="22"/>
    <x v="0"/>
    <x v="0"/>
    <n v="0"/>
    <x v="0"/>
  </r>
  <r>
    <s v="Utah"/>
    <x v="1"/>
    <x v="3"/>
    <n v="2"/>
    <n v="6"/>
    <n v="3"/>
    <n v="15"/>
    <n v="15"/>
    <x v="22"/>
    <x v="0"/>
    <x v="0"/>
    <n v="0"/>
    <x v="0"/>
  </r>
  <r>
    <s v="Utah"/>
    <x v="1"/>
    <x v="4"/>
    <n v="1"/>
    <n v="6"/>
    <n v="6"/>
    <n v="15"/>
    <n v="15"/>
    <x v="22"/>
    <x v="0"/>
    <x v="0"/>
    <n v="0"/>
    <x v="0"/>
  </r>
  <r>
    <s v="Utah"/>
    <x v="1"/>
    <x v="6"/>
    <n v="1"/>
    <n v="15"/>
    <n v="15"/>
    <n v="15"/>
    <n v="15"/>
    <x v="22"/>
    <x v="2"/>
    <x v="0"/>
    <n v="0"/>
    <x v="0"/>
  </r>
  <r>
    <s v="Vanderbilt"/>
    <x v="2"/>
    <x v="13"/>
    <n v="22"/>
    <n v="186"/>
    <n v="8.4499999999999993"/>
    <n v="13"/>
    <n v="14"/>
    <x v="23"/>
    <x v="4"/>
    <x v="0"/>
    <n v="0"/>
    <x v="0"/>
  </r>
  <r>
    <s v="Vanderbilt"/>
    <x v="2"/>
    <x v="0"/>
    <n v="13"/>
    <n v="53"/>
    <n v="4.08"/>
    <n v="13"/>
    <n v="14"/>
    <x v="23"/>
    <x v="0"/>
    <x v="0"/>
    <n v="0"/>
    <x v="0"/>
  </r>
  <r>
    <s v="Vanderbilt"/>
    <x v="2"/>
    <x v="7"/>
    <n v="10"/>
    <n v="110"/>
    <n v="11"/>
    <n v="13"/>
    <n v="14"/>
    <x v="23"/>
    <x v="3"/>
    <x v="0"/>
    <n v="0"/>
    <x v="0"/>
  </r>
  <r>
    <s v="Vanderbilt"/>
    <x v="2"/>
    <x v="5"/>
    <n v="7"/>
    <n v="98"/>
    <n v="14"/>
    <n v="13"/>
    <n v="14"/>
    <x v="23"/>
    <x v="1"/>
    <x v="0"/>
    <n v="0"/>
    <x v="0"/>
  </r>
  <r>
    <s v="Vanderbilt"/>
    <x v="2"/>
    <x v="1"/>
    <n v="6"/>
    <n v="30"/>
    <n v="5"/>
    <n v="13"/>
    <n v="14"/>
    <x v="23"/>
    <x v="0"/>
    <x v="0"/>
    <n v="0"/>
    <x v="0"/>
  </r>
  <r>
    <s v="Vanderbilt"/>
    <x v="2"/>
    <x v="10"/>
    <n v="6"/>
    <n v="82"/>
    <n v="13.67"/>
    <n v="13"/>
    <n v="14"/>
    <x v="23"/>
    <x v="2"/>
    <x v="0"/>
    <n v="0"/>
    <x v="0"/>
  </r>
  <r>
    <s v="Vanderbilt"/>
    <x v="2"/>
    <x v="12"/>
    <n v="5"/>
    <n v="30"/>
    <n v="6"/>
    <n v="13"/>
    <n v="14"/>
    <x v="23"/>
    <x v="2"/>
    <x v="0"/>
    <n v="0"/>
    <x v="0"/>
  </r>
  <r>
    <s v="Vanderbilt"/>
    <x v="2"/>
    <x v="9"/>
    <n v="4"/>
    <n v="21"/>
    <n v="5.25"/>
    <n v="13"/>
    <n v="14"/>
    <x v="23"/>
    <x v="1"/>
    <x v="0"/>
    <n v="0"/>
    <x v="0"/>
  </r>
  <r>
    <s v="Vanderbilt"/>
    <x v="2"/>
    <x v="3"/>
    <n v="4"/>
    <n v="15"/>
    <n v="3.75"/>
    <n v="13"/>
    <n v="14"/>
    <x v="23"/>
    <x v="0"/>
    <x v="0"/>
    <n v="0"/>
    <x v="0"/>
  </r>
  <r>
    <s v="Vanderbilt"/>
    <x v="2"/>
    <x v="6"/>
    <n v="3"/>
    <n v="0"/>
    <n v="0"/>
    <n v="13"/>
    <n v="14"/>
    <x v="23"/>
    <x v="2"/>
    <x v="1"/>
    <n v="1"/>
    <x v="1"/>
  </r>
  <r>
    <s v="Vanderbilt"/>
    <x v="2"/>
    <x v="2"/>
    <n v="1"/>
    <n v="46"/>
    <n v="46"/>
    <n v="13"/>
    <n v="14"/>
    <x v="23"/>
    <x v="0"/>
    <x v="0"/>
    <n v="0"/>
    <x v="0"/>
  </r>
  <r>
    <s v="Virginia"/>
    <x v="5"/>
    <x v="0"/>
    <n v="19"/>
    <n v="95"/>
    <n v="5"/>
    <n v="20"/>
    <n v="19"/>
    <x v="24"/>
    <x v="0"/>
    <x v="0"/>
    <n v="0"/>
    <x v="0"/>
  </r>
  <r>
    <s v="Virginia"/>
    <x v="5"/>
    <x v="13"/>
    <n v="15"/>
    <n v="155"/>
    <n v="10.33"/>
    <n v="20"/>
    <n v="19"/>
    <x v="24"/>
    <x v="4"/>
    <x v="0"/>
    <n v="0"/>
    <x v="0"/>
  </r>
  <r>
    <s v="Virginia"/>
    <x v="5"/>
    <x v="5"/>
    <n v="11"/>
    <n v="114"/>
    <n v="10.36"/>
    <n v="20"/>
    <n v="19"/>
    <x v="24"/>
    <x v="1"/>
    <x v="0"/>
    <n v="0"/>
    <x v="0"/>
  </r>
  <r>
    <s v="Virginia"/>
    <x v="5"/>
    <x v="3"/>
    <n v="3"/>
    <n v="14"/>
    <n v="4.67"/>
    <n v="20"/>
    <n v="19"/>
    <x v="24"/>
    <x v="0"/>
    <x v="0"/>
    <n v="0"/>
    <x v="0"/>
  </r>
  <r>
    <s v="Virginia"/>
    <x v="5"/>
    <x v="7"/>
    <n v="3"/>
    <n v="41"/>
    <n v="13.67"/>
    <n v="20"/>
    <n v="19"/>
    <x v="24"/>
    <x v="3"/>
    <x v="0"/>
    <n v="0"/>
    <x v="0"/>
  </r>
  <r>
    <s v="Virginia"/>
    <x v="5"/>
    <x v="10"/>
    <n v="3"/>
    <n v="70"/>
    <n v="23.33"/>
    <n v="20"/>
    <n v="19"/>
    <x v="24"/>
    <x v="2"/>
    <x v="0"/>
    <n v="0"/>
    <x v="0"/>
  </r>
  <r>
    <s v="Virginia"/>
    <x v="5"/>
    <x v="2"/>
    <n v="2"/>
    <n v="50"/>
    <n v="25"/>
    <n v="20"/>
    <n v="19"/>
    <x v="24"/>
    <x v="0"/>
    <x v="0"/>
    <n v="0"/>
    <x v="0"/>
  </r>
  <r>
    <s v="Virginia"/>
    <x v="5"/>
    <x v="12"/>
    <n v="2"/>
    <n v="65"/>
    <n v="32.5"/>
    <n v="20"/>
    <n v="19"/>
    <x v="24"/>
    <x v="2"/>
    <x v="0"/>
    <n v="0"/>
    <x v="0"/>
  </r>
  <r>
    <s v="Virginia"/>
    <x v="5"/>
    <x v="1"/>
    <n v="1"/>
    <n v="5"/>
    <n v="5"/>
    <n v="20"/>
    <n v="19"/>
    <x v="24"/>
    <x v="0"/>
    <x v="0"/>
    <n v="0"/>
    <x v="0"/>
  </r>
  <r>
    <s v="Virginia"/>
    <x v="5"/>
    <x v="11"/>
    <n v="1"/>
    <n v="15"/>
    <n v="15"/>
    <n v="20"/>
    <n v="19"/>
    <x v="24"/>
    <x v="2"/>
    <x v="0"/>
    <n v="0"/>
    <x v="0"/>
  </r>
  <r>
    <s v="Virginia"/>
    <x v="5"/>
    <x v="6"/>
    <n v="1"/>
    <n v="15"/>
    <n v="15"/>
    <n v="20"/>
    <n v="19"/>
    <x v="24"/>
    <x v="2"/>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2A9091-8EA9-4042-8233-F52449C5438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9" firstHeaderRow="1" firstDataRow="2" firstDataCol="1" rowPageCount="1" colPageCount="1"/>
  <pivotFields count="13">
    <pivotField showAll="0"/>
    <pivotField axis="axisRow" showAll="0">
      <items count="12">
        <item x="5"/>
        <item h="1" x="6"/>
        <item x="8"/>
        <item x="1"/>
        <item h="1" x="7"/>
        <item h="1" x="10"/>
        <item h="1" x="3"/>
        <item h="1" x="4"/>
        <item h="1" x="9"/>
        <item h="1" x="0"/>
        <item x="2"/>
        <item t="default"/>
      </items>
    </pivotField>
    <pivotField showAll="0"/>
    <pivotField dataField="1" showAll="0"/>
    <pivotField showAll="0"/>
    <pivotField showAll="0"/>
    <pivotField showAll="0"/>
    <pivotField showAll="0"/>
    <pivotField axis="axisPage" showAll="0">
      <items count="26">
        <item x="12"/>
        <item x="7"/>
        <item x="19"/>
        <item x="2"/>
        <item x="5"/>
        <item x="20"/>
        <item x="14"/>
        <item x="15"/>
        <item x="11"/>
        <item x="18"/>
        <item x="13"/>
        <item x="3"/>
        <item x="22"/>
        <item x="23"/>
        <item x="9"/>
        <item x="6"/>
        <item x="21"/>
        <item x="10"/>
        <item x="24"/>
        <item x="8"/>
        <item x="1"/>
        <item x="16"/>
        <item x="17"/>
        <item x="4"/>
        <item x="0"/>
        <item t="default"/>
      </items>
    </pivotField>
    <pivotField axis="axisCol" showAll="0">
      <items count="6">
        <item x="1"/>
        <item x="4"/>
        <item x="3"/>
        <item x="2"/>
        <item x="0"/>
        <item t="default"/>
      </items>
    </pivotField>
    <pivotField showAll="0">
      <items count="3">
        <item x="1"/>
        <item x="0"/>
        <item t="default"/>
      </items>
    </pivotField>
    <pivotField showAll="0"/>
    <pivotField showAll="0">
      <items count="3">
        <item x="0"/>
        <item x="1"/>
        <item t="default"/>
      </items>
    </pivotField>
  </pivotFields>
  <rowFields count="1">
    <field x="1"/>
  </rowFields>
  <rowItems count="5">
    <i>
      <x/>
    </i>
    <i>
      <x v="2"/>
    </i>
    <i>
      <x v="3"/>
    </i>
    <i>
      <x v="10"/>
    </i>
    <i t="grand">
      <x/>
    </i>
  </rowItems>
  <colFields count="1">
    <field x="9"/>
  </colFields>
  <colItems count="6">
    <i>
      <x/>
    </i>
    <i>
      <x v="1"/>
    </i>
    <i>
      <x v="2"/>
    </i>
    <i>
      <x v="3"/>
    </i>
    <i>
      <x v="4"/>
    </i>
    <i t="grand">
      <x/>
    </i>
  </colItems>
  <pageFields count="1">
    <pageField fld="8" hier="-1"/>
  </pageFields>
  <dataFields count="1">
    <dataField name="Sum of total_penalties" fld="3" baseField="0" baseItem="0"/>
  </dataFields>
  <chartFormats count="10">
    <chartFormat chart="0" format="5" series="1">
      <pivotArea type="data" outline="0" fieldPosition="0">
        <references count="1">
          <reference field="9" count="1" selected="0">
            <x v="0"/>
          </reference>
        </references>
      </pivotArea>
    </chartFormat>
    <chartFormat chart="0" format="6" series="1">
      <pivotArea type="data" outline="0" fieldPosition="0">
        <references count="1">
          <reference field="9" count="1" selected="0">
            <x v="1"/>
          </reference>
        </references>
      </pivotArea>
    </chartFormat>
    <chartFormat chart="0" format="7" series="1">
      <pivotArea type="data" outline="0" fieldPosition="0">
        <references count="1">
          <reference field="9" count="1" selected="0">
            <x v="2"/>
          </reference>
        </references>
      </pivotArea>
    </chartFormat>
    <chartFormat chart="0" format="8" series="1">
      <pivotArea type="data" outline="0" fieldPosition="0">
        <references count="1">
          <reference field="9" count="1" selected="0">
            <x v="3"/>
          </reference>
        </references>
      </pivotArea>
    </chartFormat>
    <chartFormat chart="0" format="9" series="1">
      <pivotArea type="data" outline="0" fieldPosition="0">
        <references count="1">
          <reference field="9" count="1" selected="0">
            <x v="4"/>
          </reference>
        </references>
      </pivotArea>
    </chartFormat>
    <chartFormat chart="6" format="15" series="1">
      <pivotArea type="data" outline="0" fieldPosition="0">
        <references count="2">
          <reference field="4294967294" count="1" selected="0">
            <x v="0"/>
          </reference>
          <reference field="9" count="1" selected="0">
            <x v="0"/>
          </reference>
        </references>
      </pivotArea>
    </chartFormat>
    <chartFormat chart="6" format="16" series="1">
      <pivotArea type="data" outline="0" fieldPosition="0">
        <references count="2">
          <reference field="4294967294" count="1" selected="0">
            <x v="0"/>
          </reference>
          <reference field="9" count="1" selected="0">
            <x v="1"/>
          </reference>
        </references>
      </pivotArea>
    </chartFormat>
    <chartFormat chart="6" format="17" series="1">
      <pivotArea type="data" outline="0" fieldPosition="0">
        <references count="2">
          <reference field="4294967294" count="1" selected="0">
            <x v="0"/>
          </reference>
          <reference field="9" count="1" selected="0">
            <x v="2"/>
          </reference>
        </references>
      </pivotArea>
    </chartFormat>
    <chartFormat chart="6" format="18" series="1">
      <pivotArea type="data" outline="0" fieldPosition="0">
        <references count="2">
          <reference field="4294967294" count="1" selected="0">
            <x v="0"/>
          </reference>
          <reference field="9" count="1" selected="0">
            <x v="3"/>
          </reference>
        </references>
      </pivotArea>
    </chartFormat>
    <chartFormat chart="6" format="1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AE4D5-F46E-4309-B168-9B7EEAAA1E5F}"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 firstHeaderRow="0" firstDataRow="0" firstDataCol="0" rowPageCount="1" colPageCount="1"/>
  <pivotFields count="13">
    <pivotField showAll="0"/>
    <pivotField showAll="0"/>
    <pivotField axis="axisPage" showAll="0">
      <items count="16">
        <item x="1"/>
        <item x="9"/>
        <item x="0"/>
        <item x="13"/>
        <item x="2"/>
        <item x="4"/>
        <item x="3"/>
        <item x="5"/>
        <item x="7"/>
        <item x="10"/>
        <item x="11"/>
        <item x="14"/>
        <item x="12"/>
        <item x="8"/>
        <item x="6"/>
        <item t="default"/>
      </items>
    </pivotField>
    <pivotField showAll="0"/>
    <pivotField showAll="0"/>
    <pivotField showAll="0"/>
    <pivotField showAll="0"/>
    <pivotField showAll="0"/>
    <pivotField showAll="0"/>
    <pivotField showAll="0"/>
    <pivotField showAll="0"/>
    <pivotField showAll="0"/>
    <pivotField showAll="0"/>
  </pivotField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6117240-6B69-4FFA-A055-8C5692F0CB81}" autoFormatId="16" applyNumberFormats="0" applyBorderFormats="0" applyFontFormats="0" applyPatternFormats="0" applyAlignmentFormats="0" applyWidthHeightFormats="0">
  <queryTableRefresh nextId="14" unboundColumnsRight="1">
    <queryTableFields count="13">
      <queryTableField id="1" name="offense" tableColumnId="1"/>
      <queryTableField id="2" name="conference" tableColumnId="2"/>
      <queryTableField id="3" name="penalty_type" tableColumnId="3"/>
      <queryTableField id="4" name="total_penalties" tableColumnId="4"/>
      <queryTableField id="5" name="total_yards" tableColumnId="5"/>
      <queryTableField id="6" name="average_yards_per_penalty" tableColumnId="6"/>
      <queryTableField id="7" name="AP_Rank" tableColumnId="7"/>
      <queryTableField id="8" name="Coaches_Rank" tableColumnId="8"/>
      <queryTableField id="9" name="CFP_Rank" tableColumnId="9"/>
      <queryTableField id="10" name="Penalty_Category" tableColumnId="10"/>
      <queryTableField id="11" name="penalty_enforced" tableColumnId="11"/>
      <queryTableField id="12" name="penalty_declined_or_offset" tableColumnId="12"/>
      <queryTableField id="13" dataBound="0" tableColumnId="13"/>
    </queryTableFields>
  </queryTableRefresh>
  <extLst>
    <ext xmlns:x15="http://schemas.microsoft.com/office/spreadsheetml/2010/11/main" uri="{883FBD77-0823-4a55-B5E3-86C4891E6966}">
      <x15:queryTable sourceDataName="Query - penalties_2025_FBS_with_ranking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erence" xr10:uid="{4C0C27A6-2880-485C-BBF4-A3972C10F011}" sourceName="conference">
  <pivotTables>
    <pivotTable tabId="4" name="PivotTable1"/>
  </pivotTables>
  <data>
    <tabular pivotCacheId="426654193">
      <items count="11">
        <i x="5" s="1"/>
        <i x="6"/>
        <i x="8" s="1"/>
        <i x="1" s="1"/>
        <i x="7"/>
        <i x="10"/>
        <i x="3"/>
        <i x="4"/>
        <i x="9"/>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nalty_Category" xr10:uid="{22BB8949-7004-4C42-8FF2-092666F83D7A}" sourceName="Penalty_Category">
  <pivotTables>
    <pivotTable tabId="4" name="PivotTable1"/>
  </pivotTables>
  <data>
    <tabular pivotCacheId="426654193">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nalty_result" xr10:uid="{FD1BE28C-5305-4104-9DDD-3F5ECC4EF1FE}" sourceName="penalty_result">
  <pivotTables>
    <pivotTable tabId="4" name="PivotTable1"/>
  </pivotTables>
  <data>
    <tabular pivotCacheId="42665419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ference" xr10:uid="{3291EB6C-AA37-42CC-9A80-347EA04FA360}" cache="Slicer_conference" caption="conference" startItem="3" rowHeight="257175"/>
  <slicer name="Penalty_Category" xr10:uid="{4D65CB6C-FECA-492F-A542-AFF8F4ADBD73}" cache="Slicer_Penalty_Category" caption="Penalty_Category" rowHeight="257175"/>
  <slicer name="penalty_result" xr10:uid="{9AAA3F9A-A551-4603-82BD-5AD7FEC2478C}" cache="Slicer_penalty_result" caption="penalty_resul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829B32-9A83-475A-9FFD-2164642C7F1D}" name="tblPenalties" displayName="tblPenalties" ref="A1:M1421" tableType="queryTable" totalsRowShown="0">
  <autoFilter ref="A1:M1421" xr:uid="{22829B32-9A83-475A-9FFD-2164642C7F1D}"/>
  <tableColumns count="13">
    <tableColumn id="1" xr3:uid="{A8F0ADBA-EAC9-4303-93A8-EF27FA0A68D4}" uniqueName="1" name="offense" queryTableFieldId="1" dataDxfId="4"/>
    <tableColumn id="2" xr3:uid="{CA3C6715-779D-4F79-9DE9-6B8F62C94DC8}" uniqueName="2" name="conference" queryTableFieldId="2" dataDxfId="3"/>
    <tableColumn id="3" xr3:uid="{D4E59055-0C88-4693-B9E3-B78779D653B1}" uniqueName="3" name="penalty_type" queryTableFieldId="3" dataDxfId="2"/>
    <tableColumn id="4" xr3:uid="{833DC928-512F-4FA1-B201-4903E9133C0F}" uniqueName="4" name="total_penalties" queryTableFieldId="4"/>
    <tableColumn id="5" xr3:uid="{F657E1E4-74ED-4F06-9EB7-B0953E19C7A6}" uniqueName="5" name="total_yards" queryTableFieldId="5"/>
    <tableColumn id="6" xr3:uid="{E7043F3B-2A8D-4432-9360-F83F40870DC2}" uniqueName="6" name="average_yards_per_penalty" queryTableFieldId="6"/>
    <tableColumn id="7" xr3:uid="{0A27A5D3-68B0-4272-B1AF-DDC878DC6D8A}" uniqueName="7" name="AP_Rank" queryTableFieldId="7"/>
    <tableColumn id="8" xr3:uid="{F5F9B2EA-C289-41A7-8BD6-5F8C5ACBF459}" uniqueName="8" name="Coaches_Rank" queryTableFieldId="8"/>
    <tableColumn id="9" xr3:uid="{51F97E9F-1873-4CB3-B739-410A54EB9961}" uniqueName="9" name="CFP_Rank" queryTableFieldId="9"/>
    <tableColumn id="10" xr3:uid="{238DC2BE-D47C-4B31-90B6-43272FC6361C}" uniqueName="10" name="Penalty_Category" queryTableFieldId="10" dataDxfId="1"/>
    <tableColumn id="11" xr3:uid="{A7BE6588-71CA-4F58-AE59-CB729233ED10}" uniqueName="11" name="penalty_enforced" queryTableFieldId="11"/>
    <tableColumn id="12" xr3:uid="{D095FE87-FFEA-482F-AB21-7C25824EDC58}" uniqueName="12" name="penalty_declined_or_offset" queryTableFieldId="12"/>
    <tableColumn id="13" xr3:uid="{8FC9F7F3-C6B0-49A3-AA0E-52966696D331}" uniqueName="13" name="penalty_result" queryTableFieldId="13" dataDxfId="0">
      <calculatedColumnFormula>IF(tblPenalties[[#This Row],[total_yards]]=0, "Declined", "Accepted")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A06E-EA91-4728-AE49-27F35C46AB3F}">
  <dimension ref="A1"/>
  <sheetViews>
    <sheetView workbookViewId="0">
      <selection activeCell="I5" sqref="I5"/>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ED56-F46E-480F-BAA1-82A5B2558E0B}">
  <dimension ref="A1:G9"/>
  <sheetViews>
    <sheetView workbookViewId="0">
      <selection activeCell="C10" sqref="C10"/>
    </sheetView>
  </sheetViews>
  <sheetFormatPr defaultRowHeight="15" x14ac:dyDescent="0.25"/>
  <cols>
    <col min="1" max="1" width="21.5703125" bestFit="1" customWidth="1"/>
    <col min="2" max="2" width="16.85546875" bestFit="1" customWidth="1"/>
    <col min="3" max="3" width="16.42578125" bestFit="1" customWidth="1"/>
    <col min="4" max="4" width="14.5703125" bestFit="1" customWidth="1"/>
    <col min="5" max="5" width="13.28515625" bestFit="1" customWidth="1"/>
    <col min="6" max="6" width="10.7109375" bestFit="1" customWidth="1"/>
    <col min="7" max="7" width="11.28515625" bestFit="1" customWidth="1"/>
  </cols>
  <sheetData>
    <row r="1" spans="1:7" x14ac:dyDescent="0.25">
      <c r="A1" s="2" t="s">
        <v>8</v>
      </c>
      <c r="B1" t="s">
        <v>181</v>
      </c>
    </row>
    <row r="3" spans="1:7" x14ac:dyDescent="0.25">
      <c r="A3" s="2" t="s">
        <v>182</v>
      </c>
      <c r="B3" s="2" t="s">
        <v>180</v>
      </c>
    </row>
    <row r="4" spans="1:7" x14ac:dyDescent="0.25">
      <c r="A4" s="2" t="s">
        <v>178</v>
      </c>
      <c r="B4" t="s">
        <v>113</v>
      </c>
      <c r="C4" t="s">
        <v>130</v>
      </c>
      <c r="D4" t="s">
        <v>118</v>
      </c>
      <c r="E4" t="s">
        <v>115</v>
      </c>
      <c r="F4" t="s">
        <v>15</v>
      </c>
      <c r="G4" t="s">
        <v>179</v>
      </c>
    </row>
    <row r="5" spans="1:7" x14ac:dyDescent="0.25">
      <c r="A5" s="3" t="s">
        <v>28</v>
      </c>
      <c r="B5" s="1">
        <v>199</v>
      </c>
      <c r="C5" s="1">
        <v>234</v>
      </c>
      <c r="D5" s="1">
        <v>122</v>
      </c>
      <c r="E5" s="1">
        <v>166</v>
      </c>
      <c r="F5" s="1">
        <v>363</v>
      </c>
      <c r="G5" s="1">
        <v>1084</v>
      </c>
    </row>
    <row r="6" spans="1:7" x14ac:dyDescent="0.25">
      <c r="A6" s="3" t="s">
        <v>52</v>
      </c>
      <c r="B6" s="1">
        <v>139</v>
      </c>
      <c r="C6" s="1">
        <v>145</v>
      </c>
      <c r="D6" s="1">
        <v>125</v>
      </c>
      <c r="E6" s="1">
        <v>113</v>
      </c>
      <c r="F6" s="1">
        <v>305</v>
      </c>
      <c r="G6" s="1">
        <v>827</v>
      </c>
    </row>
    <row r="7" spans="1:7" x14ac:dyDescent="0.25">
      <c r="A7" s="3" t="s">
        <v>17</v>
      </c>
      <c r="B7" s="1">
        <v>170</v>
      </c>
      <c r="C7" s="1">
        <v>260</v>
      </c>
      <c r="D7" s="1">
        <v>141</v>
      </c>
      <c r="E7" s="1">
        <v>84</v>
      </c>
      <c r="F7" s="1">
        <v>296</v>
      </c>
      <c r="G7" s="1">
        <v>951</v>
      </c>
    </row>
    <row r="8" spans="1:7" x14ac:dyDescent="0.25">
      <c r="A8" s="3" t="s">
        <v>19</v>
      </c>
      <c r="B8" s="1">
        <v>145</v>
      </c>
      <c r="C8" s="1">
        <v>247</v>
      </c>
      <c r="D8" s="1">
        <v>120</v>
      </c>
      <c r="E8" s="1">
        <v>112</v>
      </c>
      <c r="F8" s="1">
        <v>363</v>
      </c>
      <c r="G8" s="1">
        <v>987</v>
      </c>
    </row>
    <row r="9" spans="1:7" x14ac:dyDescent="0.25">
      <c r="A9" s="3" t="s">
        <v>179</v>
      </c>
      <c r="B9" s="1">
        <v>653</v>
      </c>
      <c r="C9" s="1">
        <v>886</v>
      </c>
      <c r="D9" s="1">
        <v>508</v>
      </c>
      <c r="E9" s="1">
        <v>475</v>
      </c>
      <c r="F9" s="1">
        <v>1327</v>
      </c>
      <c r="G9" s="1">
        <v>3849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AE02-2DD9-4EF0-AEA0-B7E0D04469A2}">
  <dimension ref="A1:B1"/>
  <sheetViews>
    <sheetView workbookViewId="0"/>
  </sheetViews>
  <sheetFormatPr defaultRowHeight="15" x14ac:dyDescent="0.25"/>
  <cols>
    <col min="1" max="1" width="11.85546875" bestFit="1" customWidth="1"/>
    <col min="2" max="2" width="7" bestFit="1" customWidth="1"/>
  </cols>
  <sheetData>
    <row r="1" spans="1:2" x14ac:dyDescent="0.25">
      <c r="A1" s="2" t="s">
        <v>2</v>
      </c>
      <c r="B1"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4F2C-F46B-4E80-A957-355BB590072A}">
  <dimension ref="A1:M1421"/>
  <sheetViews>
    <sheetView tabSelected="1" workbookViewId="0">
      <selection activeCell="D7" sqref="D7"/>
    </sheetView>
  </sheetViews>
  <sheetFormatPr defaultRowHeight="15" x14ac:dyDescent="0.25"/>
  <cols>
    <col min="1" max="1" width="16.5703125" bestFit="1" customWidth="1"/>
    <col min="2" max="2" width="13.5703125" bestFit="1" customWidth="1"/>
    <col min="3" max="3" width="24.28515625" bestFit="1" customWidth="1"/>
    <col min="4" max="4" width="16.85546875" bestFit="1" customWidth="1"/>
    <col min="5" max="5" width="13.140625" bestFit="1" customWidth="1"/>
    <col min="6" max="6" width="28" bestFit="1" customWidth="1"/>
    <col min="7" max="7" width="10.85546875" bestFit="1" customWidth="1"/>
    <col min="8" max="8" width="16.5703125" bestFit="1" customWidth="1"/>
    <col min="9" max="9" width="12.140625" bestFit="1" customWidth="1"/>
    <col min="10" max="11" width="19.140625" bestFit="1" customWidth="1"/>
    <col min="12" max="12" width="28.28515625" bestFit="1" customWidth="1"/>
    <col min="13" max="13" width="16.28515625" bestFit="1" customWidth="1"/>
  </cols>
  <sheetData>
    <row r="1" spans="1:13" x14ac:dyDescent="0.25">
      <c r="A1" t="s">
        <v>0</v>
      </c>
      <c r="B1" t="s">
        <v>1</v>
      </c>
      <c r="C1" t="s">
        <v>2</v>
      </c>
      <c r="D1" t="s">
        <v>3</v>
      </c>
      <c r="E1" t="s">
        <v>4</v>
      </c>
      <c r="F1" t="s">
        <v>5</v>
      </c>
      <c r="G1" t="s">
        <v>6</v>
      </c>
      <c r="H1" t="s">
        <v>7</v>
      </c>
      <c r="I1" t="s">
        <v>8</v>
      </c>
      <c r="J1" t="s">
        <v>9</v>
      </c>
      <c r="K1" t="s">
        <v>10</v>
      </c>
      <c r="L1" t="s">
        <v>11</v>
      </c>
      <c r="M1" t="s">
        <v>183</v>
      </c>
    </row>
    <row r="2" spans="1:13" x14ac:dyDescent="0.25">
      <c r="A2" s="1" t="s">
        <v>12</v>
      </c>
      <c r="B2" s="1" t="s">
        <v>13</v>
      </c>
      <c r="C2" s="1" t="s">
        <v>14</v>
      </c>
      <c r="D2">
        <v>10</v>
      </c>
      <c r="E2">
        <v>50</v>
      </c>
      <c r="F2">
        <v>5</v>
      </c>
      <c r="J2" s="1" t="s">
        <v>15</v>
      </c>
      <c r="K2">
        <v>1</v>
      </c>
      <c r="L2">
        <v>0</v>
      </c>
      <c r="M2" t="str">
        <f>IF(tblPenalties[[#This Row],[total_yards]]=0, "Declined", "Accepted")</f>
        <v>Accepted</v>
      </c>
    </row>
    <row r="3" spans="1:13" x14ac:dyDescent="0.25">
      <c r="A3" s="1" t="s">
        <v>16</v>
      </c>
      <c r="B3" s="1" t="s">
        <v>17</v>
      </c>
      <c r="C3" s="1" t="s">
        <v>14</v>
      </c>
      <c r="D3">
        <v>6</v>
      </c>
      <c r="E3">
        <v>30</v>
      </c>
      <c r="F3">
        <v>5</v>
      </c>
      <c r="J3" s="1" t="s">
        <v>15</v>
      </c>
      <c r="K3">
        <v>1</v>
      </c>
      <c r="L3">
        <v>0</v>
      </c>
      <c r="M3" t="str">
        <f>IF(tblPenalties[[#This Row],[total_yards]]=0, "Declined", "Accepted")</f>
        <v>Accepted</v>
      </c>
    </row>
    <row r="4" spans="1:13" x14ac:dyDescent="0.25">
      <c r="A4" s="1" t="s">
        <v>18</v>
      </c>
      <c r="B4" s="1" t="s">
        <v>19</v>
      </c>
      <c r="C4" s="1" t="s">
        <v>14</v>
      </c>
      <c r="D4">
        <v>5</v>
      </c>
      <c r="E4">
        <v>25</v>
      </c>
      <c r="F4">
        <v>5</v>
      </c>
      <c r="J4" s="1" t="s">
        <v>15</v>
      </c>
      <c r="K4">
        <v>1</v>
      </c>
      <c r="L4">
        <v>0</v>
      </c>
      <c r="M4" t="str">
        <f>IF(tblPenalties[[#This Row],[total_yards]]=0, "Declined", "Accepted")</f>
        <v>Accepted</v>
      </c>
    </row>
    <row r="5" spans="1:13" x14ac:dyDescent="0.25">
      <c r="A5" s="1" t="s">
        <v>20</v>
      </c>
      <c r="B5" s="1" t="s">
        <v>21</v>
      </c>
      <c r="C5" s="1" t="s">
        <v>22</v>
      </c>
      <c r="D5">
        <v>5</v>
      </c>
      <c r="E5">
        <v>25</v>
      </c>
      <c r="F5">
        <v>5</v>
      </c>
      <c r="J5" s="1" t="s">
        <v>15</v>
      </c>
      <c r="K5">
        <v>1</v>
      </c>
      <c r="L5">
        <v>0</v>
      </c>
      <c r="M5" t="str">
        <f>IF(tblPenalties[[#This Row],[total_yards]]=0, "Declined", "Accepted")</f>
        <v>Accepted</v>
      </c>
    </row>
    <row r="6" spans="1:13" x14ac:dyDescent="0.25">
      <c r="A6" s="1" t="s">
        <v>20</v>
      </c>
      <c r="B6" s="1" t="s">
        <v>21</v>
      </c>
      <c r="C6" s="1" t="s">
        <v>23</v>
      </c>
      <c r="D6">
        <v>1</v>
      </c>
      <c r="E6">
        <v>5</v>
      </c>
      <c r="F6">
        <v>5</v>
      </c>
      <c r="J6" s="1" t="s">
        <v>15</v>
      </c>
      <c r="K6">
        <v>1</v>
      </c>
      <c r="L6">
        <v>0</v>
      </c>
      <c r="M6" t="str">
        <f>IF(tblPenalties[[#This Row],[total_yards]]=0, "Declined", "Accepted")</f>
        <v>Accepted</v>
      </c>
    </row>
    <row r="7" spans="1:13" x14ac:dyDescent="0.25">
      <c r="A7" s="1" t="s">
        <v>24</v>
      </c>
      <c r="B7" s="1" t="s">
        <v>17</v>
      </c>
      <c r="C7" s="1" t="s">
        <v>14</v>
      </c>
      <c r="D7">
        <v>2</v>
      </c>
      <c r="E7">
        <v>10</v>
      </c>
      <c r="F7">
        <v>5</v>
      </c>
      <c r="J7" s="1" t="s">
        <v>15</v>
      </c>
      <c r="K7">
        <v>1</v>
      </c>
      <c r="L7">
        <v>0</v>
      </c>
      <c r="M7" t="str">
        <f>IF(tblPenalties[[#This Row],[total_yards]]=0, "Declined", "Accepted")</f>
        <v>Accepted</v>
      </c>
    </row>
    <row r="8" spans="1:13" x14ac:dyDescent="0.25">
      <c r="A8" s="1" t="s">
        <v>25</v>
      </c>
      <c r="B8" s="1" t="s">
        <v>26</v>
      </c>
      <c r="C8" s="1" t="s">
        <v>23</v>
      </c>
      <c r="D8">
        <v>1</v>
      </c>
      <c r="E8">
        <v>5</v>
      </c>
      <c r="F8">
        <v>5</v>
      </c>
      <c r="J8" s="1" t="s">
        <v>15</v>
      </c>
      <c r="K8">
        <v>1</v>
      </c>
      <c r="L8">
        <v>0</v>
      </c>
      <c r="M8" t="str">
        <f>IF(tblPenalties[[#This Row],[total_yards]]=0, "Declined", "Accepted")</f>
        <v>Accepted</v>
      </c>
    </row>
    <row r="9" spans="1:13" x14ac:dyDescent="0.25">
      <c r="A9" s="1" t="s">
        <v>27</v>
      </c>
      <c r="B9" s="1" t="s">
        <v>28</v>
      </c>
      <c r="C9" s="1" t="s">
        <v>22</v>
      </c>
      <c r="D9">
        <v>2</v>
      </c>
      <c r="E9">
        <v>10</v>
      </c>
      <c r="F9">
        <v>5</v>
      </c>
      <c r="J9" s="1" t="s">
        <v>15</v>
      </c>
      <c r="K9">
        <v>1</v>
      </c>
      <c r="L9">
        <v>0</v>
      </c>
      <c r="M9" t="str">
        <f>IF(tblPenalties[[#This Row],[total_yards]]=0, "Declined", "Accepted")</f>
        <v>Accepted</v>
      </c>
    </row>
    <row r="10" spans="1:13" x14ac:dyDescent="0.25">
      <c r="A10" s="1" t="s">
        <v>29</v>
      </c>
      <c r="B10" s="1" t="s">
        <v>21</v>
      </c>
      <c r="C10" s="1" t="s">
        <v>14</v>
      </c>
      <c r="D10">
        <v>10</v>
      </c>
      <c r="E10">
        <v>50</v>
      </c>
      <c r="F10">
        <v>5</v>
      </c>
      <c r="J10" s="1" t="s">
        <v>15</v>
      </c>
      <c r="K10">
        <v>1</v>
      </c>
      <c r="L10">
        <v>0</v>
      </c>
      <c r="M10" t="str">
        <f>IF(tblPenalties[[#This Row],[total_yards]]=0, "Declined", "Accepted")</f>
        <v>Accepted</v>
      </c>
    </row>
    <row r="11" spans="1:13" x14ac:dyDescent="0.25">
      <c r="A11" s="1" t="s">
        <v>30</v>
      </c>
      <c r="B11" s="1" t="s">
        <v>21</v>
      </c>
      <c r="C11" s="1" t="s">
        <v>31</v>
      </c>
      <c r="D11">
        <v>2</v>
      </c>
      <c r="E11">
        <v>10</v>
      </c>
      <c r="F11">
        <v>5</v>
      </c>
      <c r="J11" s="1" t="s">
        <v>15</v>
      </c>
      <c r="K11">
        <v>1</v>
      </c>
      <c r="L11">
        <v>0</v>
      </c>
      <c r="M11" t="str">
        <f>IF(tblPenalties[[#This Row],[total_yards]]=0, "Declined", "Accepted")</f>
        <v>Accepted</v>
      </c>
    </row>
    <row r="12" spans="1:13" x14ac:dyDescent="0.25">
      <c r="A12" s="1" t="s">
        <v>32</v>
      </c>
      <c r="B12" s="1" t="s">
        <v>28</v>
      </c>
      <c r="C12" s="1" t="s">
        <v>14</v>
      </c>
      <c r="D12">
        <v>24</v>
      </c>
      <c r="E12">
        <v>120</v>
      </c>
      <c r="F12">
        <v>5</v>
      </c>
      <c r="J12" s="1" t="s">
        <v>15</v>
      </c>
      <c r="K12">
        <v>1</v>
      </c>
      <c r="L12">
        <v>0</v>
      </c>
      <c r="M12" t="str">
        <f>IF(tblPenalties[[#This Row],[total_yards]]=0, "Declined", "Accepted")</f>
        <v>Accepted</v>
      </c>
    </row>
    <row r="13" spans="1:13" x14ac:dyDescent="0.25">
      <c r="A13" s="1" t="s">
        <v>33</v>
      </c>
      <c r="B13" s="1" t="s">
        <v>34</v>
      </c>
      <c r="C13" s="1" t="s">
        <v>22</v>
      </c>
      <c r="D13">
        <v>1</v>
      </c>
      <c r="E13">
        <v>5</v>
      </c>
      <c r="F13">
        <v>5</v>
      </c>
      <c r="J13" s="1" t="s">
        <v>15</v>
      </c>
      <c r="K13">
        <v>1</v>
      </c>
      <c r="L13">
        <v>0</v>
      </c>
      <c r="M13" t="str">
        <f>IF(tblPenalties[[#This Row],[total_yards]]=0, "Declined", "Accepted")</f>
        <v>Accepted</v>
      </c>
    </row>
    <row r="14" spans="1:13" x14ac:dyDescent="0.25">
      <c r="A14" s="1" t="s">
        <v>33</v>
      </c>
      <c r="B14" s="1" t="s">
        <v>34</v>
      </c>
      <c r="C14" s="1" t="s">
        <v>23</v>
      </c>
      <c r="D14">
        <v>1</v>
      </c>
      <c r="E14">
        <v>5</v>
      </c>
      <c r="F14">
        <v>5</v>
      </c>
      <c r="J14" s="1" t="s">
        <v>15</v>
      </c>
      <c r="K14">
        <v>1</v>
      </c>
      <c r="L14">
        <v>0</v>
      </c>
      <c r="M14" t="str">
        <f>IF(tblPenalties[[#This Row],[total_yards]]=0, "Declined", "Accepted")</f>
        <v>Accepted</v>
      </c>
    </row>
    <row r="15" spans="1:13" x14ac:dyDescent="0.25">
      <c r="A15" s="1" t="s">
        <v>35</v>
      </c>
      <c r="B15" s="1" t="s">
        <v>28</v>
      </c>
      <c r="C15" s="1" t="s">
        <v>22</v>
      </c>
      <c r="D15">
        <v>1</v>
      </c>
      <c r="E15">
        <v>5</v>
      </c>
      <c r="F15">
        <v>5</v>
      </c>
      <c r="J15" s="1" t="s">
        <v>15</v>
      </c>
      <c r="K15">
        <v>1</v>
      </c>
      <c r="L15">
        <v>0</v>
      </c>
      <c r="M15" t="str">
        <f>IF(tblPenalties[[#This Row],[total_yards]]=0, "Declined", "Accepted")</f>
        <v>Accepted</v>
      </c>
    </row>
    <row r="16" spans="1:13" x14ac:dyDescent="0.25">
      <c r="A16" s="1" t="s">
        <v>36</v>
      </c>
      <c r="B16" s="1" t="s">
        <v>13</v>
      </c>
      <c r="C16" s="1" t="s">
        <v>14</v>
      </c>
      <c r="D16">
        <v>9</v>
      </c>
      <c r="E16">
        <v>45</v>
      </c>
      <c r="F16">
        <v>5</v>
      </c>
      <c r="J16" s="1" t="s">
        <v>15</v>
      </c>
      <c r="K16">
        <v>1</v>
      </c>
      <c r="L16">
        <v>0</v>
      </c>
      <c r="M16" t="str">
        <f>IF(tblPenalties[[#This Row],[total_yards]]=0, "Declined", "Accepted")</f>
        <v>Accepted</v>
      </c>
    </row>
    <row r="17" spans="1:13" x14ac:dyDescent="0.25">
      <c r="A17" s="1" t="s">
        <v>36</v>
      </c>
      <c r="B17" s="1" t="s">
        <v>13</v>
      </c>
      <c r="C17" s="1" t="s">
        <v>22</v>
      </c>
      <c r="D17">
        <v>2</v>
      </c>
      <c r="E17">
        <v>10</v>
      </c>
      <c r="F17">
        <v>5</v>
      </c>
      <c r="J17" s="1" t="s">
        <v>15</v>
      </c>
      <c r="K17">
        <v>1</v>
      </c>
      <c r="L17">
        <v>0</v>
      </c>
      <c r="M17" t="str">
        <f>IF(tblPenalties[[#This Row],[total_yards]]=0, "Declined", "Accepted")</f>
        <v>Accepted</v>
      </c>
    </row>
    <row r="18" spans="1:13" x14ac:dyDescent="0.25">
      <c r="A18" s="1" t="s">
        <v>37</v>
      </c>
      <c r="B18" s="1" t="s">
        <v>17</v>
      </c>
      <c r="C18" s="1" t="s">
        <v>14</v>
      </c>
      <c r="D18">
        <v>9</v>
      </c>
      <c r="E18">
        <v>45</v>
      </c>
      <c r="F18">
        <v>5</v>
      </c>
      <c r="J18" s="1" t="s">
        <v>15</v>
      </c>
      <c r="K18">
        <v>1</v>
      </c>
      <c r="L18">
        <v>0</v>
      </c>
      <c r="M18" t="str">
        <f>IF(tblPenalties[[#This Row],[total_yards]]=0, "Declined", "Accepted")</f>
        <v>Accepted</v>
      </c>
    </row>
    <row r="19" spans="1:13" x14ac:dyDescent="0.25">
      <c r="A19" s="1" t="s">
        <v>38</v>
      </c>
      <c r="B19" s="1" t="s">
        <v>26</v>
      </c>
      <c r="C19" s="1" t="s">
        <v>14</v>
      </c>
      <c r="D19">
        <v>12</v>
      </c>
      <c r="E19">
        <v>60</v>
      </c>
      <c r="F19">
        <v>5</v>
      </c>
      <c r="J19" s="1" t="s">
        <v>15</v>
      </c>
      <c r="K19">
        <v>1</v>
      </c>
      <c r="L19">
        <v>0</v>
      </c>
      <c r="M19" t="str">
        <f>IF(tblPenalties[[#This Row],[total_yards]]=0, "Declined", "Accepted")</f>
        <v>Accepted</v>
      </c>
    </row>
    <row r="20" spans="1:13" x14ac:dyDescent="0.25">
      <c r="A20" s="1" t="s">
        <v>38</v>
      </c>
      <c r="B20" s="1" t="s">
        <v>26</v>
      </c>
      <c r="C20" s="1" t="s">
        <v>22</v>
      </c>
      <c r="D20">
        <v>1</v>
      </c>
      <c r="E20">
        <v>5</v>
      </c>
      <c r="F20">
        <v>5</v>
      </c>
      <c r="J20" s="1" t="s">
        <v>15</v>
      </c>
      <c r="K20">
        <v>1</v>
      </c>
      <c r="L20">
        <v>0</v>
      </c>
      <c r="M20" t="str">
        <f>IF(tblPenalties[[#This Row],[total_yards]]=0, "Declined", "Accepted")</f>
        <v>Accepted</v>
      </c>
    </row>
    <row r="21" spans="1:13" x14ac:dyDescent="0.25">
      <c r="A21" s="1" t="s">
        <v>39</v>
      </c>
      <c r="B21" s="1" t="s">
        <v>40</v>
      </c>
      <c r="C21" s="1" t="s">
        <v>14</v>
      </c>
      <c r="D21">
        <v>5</v>
      </c>
      <c r="E21">
        <v>25</v>
      </c>
      <c r="F21">
        <v>5</v>
      </c>
      <c r="J21" s="1" t="s">
        <v>15</v>
      </c>
      <c r="K21">
        <v>1</v>
      </c>
      <c r="L21">
        <v>0</v>
      </c>
      <c r="M21" t="str">
        <f>IF(tblPenalties[[#This Row],[total_yards]]=0, "Declined", "Accepted")</f>
        <v>Accepted</v>
      </c>
    </row>
    <row r="22" spans="1:13" x14ac:dyDescent="0.25">
      <c r="A22" s="1" t="s">
        <v>41</v>
      </c>
      <c r="B22" s="1" t="s">
        <v>21</v>
      </c>
      <c r="C22" s="1" t="s">
        <v>14</v>
      </c>
      <c r="D22">
        <v>14</v>
      </c>
      <c r="E22">
        <v>70</v>
      </c>
      <c r="F22">
        <v>5</v>
      </c>
      <c r="J22" s="1" t="s">
        <v>15</v>
      </c>
      <c r="K22">
        <v>1</v>
      </c>
      <c r="L22">
        <v>0</v>
      </c>
      <c r="M22" t="str">
        <f>IF(tblPenalties[[#This Row],[total_yards]]=0, "Declined", "Accepted")</f>
        <v>Accepted</v>
      </c>
    </row>
    <row r="23" spans="1:13" x14ac:dyDescent="0.25">
      <c r="A23" s="1" t="s">
        <v>41</v>
      </c>
      <c r="B23" s="1" t="s">
        <v>21</v>
      </c>
      <c r="C23" s="1" t="s">
        <v>22</v>
      </c>
      <c r="D23">
        <v>5</v>
      </c>
      <c r="E23">
        <v>25</v>
      </c>
      <c r="F23">
        <v>5</v>
      </c>
      <c r="J23" s="1" t="s">
        <v>15</v>
      </c>
      <c r="K23">
        <v>1</v>
      </c>
      <c r="L23">
        <v>0</v>
      </c>
      <c r="M23" t="str">
        <f>IF(tblPenalties[[#This Row],[total_yards]]=0, "Declined", "Accepted")</f>
        <v>Accepted</v>
      </c>
    </row>
    <row r="24" spans="1:13" x14ac:dyDescent="0.25">
      <c r="A24" s="1" t="s">
        <v>42</v>
      </c>
      <c r="B24" s="1" t="s">
        <v>34</v>
      </c>
      <c r="C24" s="1" t="s">
        <v>14</v>
      </c>
      <c r="D24">
        <v>18</v>
      </c>
      <c r="E24">
        <v>90</v>
      </c>
      <c r="F24">
        <v>5</v>
      </c>
      <c r="J24" s="1" t="s">
        <v>15</v>
      </c>
      <c r="K24">
        <v>1</v>
      </c>
      <c r="L24">
        <v>0</v>
      </c>
      <c r="M24" t="str">
        <f>IF(tblPenalties[[#This Row],[total_yards]]=0, "Declined", "Accepted")</f>
        <v>Accepted</v>
      </c>
    </row>
    <row r="25" spans="1:13" x14ac:dyDescent="0.25">
      <c r="A25" s="1" t="s">
        <v>42</v>
      </c>
      <c r="B25" s="1" t="s">
        <v>34</v>
      </c>
      <c r="C25" s="1" t="s">
        <v>22</v>
      </c>
      <c r="D25">
        <v>2</v>
      </c>
      <c r="E25">
        <v>10</v>
      </c>
      <c r="F25">
        <v>5</v>
      </c>
      <c r="J25" s="1" t="s">
        <v>15</v>
      </c>
      <c r="K25">
        <v>1</v>
      </c>
      <c r="L25">
        <v>0</v>
      </c>
      <c r="M25" t="str">
        <f>IF(tblPenalties[[#This Row],[total_yards]]=0, "Declined", "Accepted")</f>
        <v>Accepted</v>
      </c>
    </row>
    <row r="26" spans="1:13" x14ac:dyDescent="0.25">
      <c r="A26" s="1" t="s">
        <v>43</v>
      </c>
      <c r="B26" s="1" t="s">
        <v>40</v>
      </c>
      <c r="C26" s="1" t="s">
        <v>14</v>
      </c>
      <c r="D26">
        <v>11</v>
      </c>
      <c r="E26">
        <v>55</v>
      </c>
      <c r="F26">
        <v>5</v>
      </c>
      <c r="J26" s="1" t="s">
        <v>15</v>
      </c>
      <c r="K26">
        <v>1</v>
      </c>
      <c r="L26">
        <v>0</v>
      </c>
      <c r="M26" t="str">
        <f>IF(tblPenalties[[#This Row],[total_yards]]=0, "Declined", "Accepted")</f>
        <v>Accepted</v>
      </c>
    </row>
    <row r="27" spans="1:13" x14ac:dyDescent="0.25">
      <c r="A27" s="1" t="s">
        <v>43</v>
      </c>
      <c r="B27" s="1" t="s">
        <v>40</v>
      </c>
      <c r="C27" s="1" t="s">
        <v>22</v>
      </c>
      <c r="D27">
        <v>7</v>
      </c>
      <c r="E27">
        <v>35</v>
      </c>
      <c r="F27">
        <v>5</v>
      </c>
      <c r="J27" s="1" t="s">
        <v>15</v>
      </c>
      <c r="K27">
        <v>1</v>
      </c>
      <c r="L27">
        <v>0</v>
      </c>
      <c r="M27" t="str">
        <f>IF(tblPenalties[[#This Row],[total_yards]]=0, "Declined", "Accepted")</f>
        <v>Accepted</v>
      </c>
    </row>
    <row r="28" spans="1:13" x14ac:dyDescent="0.25">
      <c r="A28" s="1" t="s">
        <v>44</v>
      </c>
      <c r="B28" s="1" t="s">
        <v>19</v>
      </c>
      <c r="C28" s="1" t="s">
        <v>22</v>
      </c>
      <c r="D28">
        <v>3</v>
      </c>
      <c r="E28">
        <v>15</v>
      </c>
      <c r="F28">
        <v>5</v>
      </c>
      <c r="J28" s="1" t="s">
        <v>15</v>
      </c>
      <c r="K28">
        <v>1</v>
      </c>
      <c r="L28">
        <v>0</v>
      </c>
      <c r="M28" t="str">
        <f>IF(tblPenalties[[#This Row],[total_yards]]=0, "Declined", "Accepted")</f>
        <v>Accepted</v>
      </c>
    </row>
    <row r="29" spans="1:13" x14ac:dyDescent="0.25">
      <c r="A29" s="1" t="s">
        <v>45</v>
      </c>
      <c r="B29" s="1" t="s">
        <v>28</v>
      </c>
      <c r="C29" s="1" t="s">
        <v>22</v>
      </c>
      <c r="D29">
        <v>4</v>
      </c>
      <c r="E29">
        <v>20</v>
      </c>
      <c r="F29">
        <v>5</v>
      </c>
      <c r="J29" s="1" t="s">
        <v>15</v>
      </c>
      <c r="K29">
        <v>1</v>
      </c>
      <c r="L29">
        <v>0</v>
      </c>
      <c r="M29" t="str">
        <f>IF(tblPenalties[[#This Row],[total_yards]]=0, "Declined", "Accepted")</f>
        <v>Accepted</v>
      </c>
    </row>
    <row r="30" spans="1:13" x14ac:dyDescent="0.25">
      <c r="A30" s="1" t="s">
        <v>46</v>
      </c>
      <c r="B30" s="1" t="s">
        <v>26</v>
      </c>
      <c r="C30" s="1" t="s">
        <v>22</v>
      </c>
      <c r="D30">
        <v>3</v>
      </c>
      <c r="E30">
        <v>15</v>
      </c>
      <c r="F30">
        <v>5</v>
      </c>
      <c r="J30" s="1" t="s">
        <v>15</v>
      </c>
      <c r="K30">
        <v>1</v>
      </c>
      <c r="L30">
        <v>0</v>
      </c>
      <c r="M30" t="str">
        <f>IF(tblPenalties[[#This Row],[total_yards]]=0, "Declined", "Accepted")</f>
        <v>Accepted</v>
      </c>
    </row>
    <row r="31" spans="1:13" x14ac:dyDescent="0.25">
      <c r="A31" s="1" t="s">
        <v>47</v>
      </c>
      <c r="B31" s="1" t="s">
        <v>13</v>
      </c>
      <c r="C31" s="1" t="s">
        <v>14</v>
      </c>
      <c r="D31">
        <v>6</v>
      </c>
      <c r="E31">
        <v>30</v>
      </c>
      <c r="F31">
        <v>5</v>
      </c>
      <c r="J31" s="1" t="s">
        <v>15</v>
      </c>
      <c r="K31">
        <v>1</v>
      </c>
      <c r="L31">
        <v>0</v>
      </c>
      <c r="M31" t="str">
        <f>IF(tblPenalties[[#This Row],[total_yards]]=0, "Declined", "Accepted")</f>
        <v>Accepted</v>
      </c>
    </row>
    <row r="32" spans="1:13" x14ac:dyDescent="0.25">
      <c r="A32" s="1" t="s">
        <v>47</v>
      </c>
      <c r="B32" s="1" t="s">
        <v>13</v>
      </c>
      <c r="C32" s="1" t="s">
        <v>22</v>
      </c>
      <c r="D32">
        <v>2</v>
      </c>
      <c r="E32">
        <v>10</v>
      </c>
      <c r="F32">
        <v>5</v>
      </c>
      <c r="J32" s="1" t="s">
        <v>15</v>
      </c>
      <c r="K32">
        <v>1</v>
      </c>
      <c r="L32">
        <v>0</v>
      </c>
      <c r="M32" t="str">
        <f>IF(tblPenalties[[#This Row],[total_yards]]=0, "Declined", "Accepted")</f>
        <v>Accepted</v>
      </c>
    </row>
    <row r="33" spans="1:13" x14ac:dyDescent="0.25">
      <c r="A33" s="1" t="s">
        <v>48</v>
      </c>
      <c r="B33" s="1" t="s">
        <v>26</v>
      </c>
      <c r="C33" s="1" t="s">
        <v>49</v>
      </c>
      <c r="D33">
        <v>1</v>
      </c>
      <c r="E33">
        <v>5</v>
      </c>
      <c r="F33">
        <v>5</v>
      </c>
      <c r="J33" s="1" t="s">
        <v>15</v>
      </c>
      <c r="K33">
        <v>1</v>
      </c>
      <c r="L33">
        <v>0</v>
      </c>
      <c r="M33" t="str">
        <f>IF(tblPenalties[[#This Row],[total_yards]]=0, "Declined", "Accepted")</f>
        <v>Accepted</v>
      </c>
    </row>
    <row r="34" spans="1:13" x14ac:dyDescent="0.25">
      <c r="A34" s="1" t="s">
        <v>50</v>
      </c>
      <c r="B34" s="1" t="s">
        <v>17</v>
      </c>
      <c r="C34" s="1" t="s">
        <v>22</v>
      </c>
      <c r="D34">
        <v>1</v>
      </c>
      <c r="E34">
        <v>5</v>
      </c>
      <c r="F34">
        <v>5</v>
      </c>
      <c r="J34" s="1" t="s">
        <v>15</v>
      </c>
      <c r="K34">
        <v>1</v>
      </c>
      <c r="L34">
        <v>0</v>
      </c>
      <c r="M34" t="str">
        <f>IF(tblPenalties[[#This Row],[total_yards]]=0, "Declined", "Accepted")</f>
        <v>Accepted</v>
      </c>
    </row>
    <row r="35" spans="1:13" x14ac:dyDescent="0.25">
      <c r="A35" s="1" t="s">
        <v>51</v>
      </c>
      <c r="B35" s="1" t="s">
        <v>52</v>
      </c>
      <c r="C35" s="1" t="s">
        <v>22</v>
      </c>
      <c r="D35">
        <v>1</v>
      </c>
      <c r="E35">
        <v>5</v>
      </c>
      <c r="F35">
        <v>5</v>
      </c>
      <c r="J35" s="1" t="s">
        <v>15</v>
      </c>
      <c r="K35">
        <v>1</v>
      </c>
      <c r="L35">
        <v>0</v>
      </c>
      <c r="M35" t="str">
        <f>IF(tblPenalties[[#This Row],[total_yards]]=0, "Declined", "Accepted")</f>
        <v>Accepted</v>
      </c>
    </row>
    <row r="36" spans="1:13" x14ac:dyDescent="0.25">
      <c r="A36" s="1" t="s">
        <v>53</v>
      </c>
      <c r="B36" s="1" t="s">
        <v>17</v>
      </c>
      <c r="C36" s="1" t="s">
        <v>22</v>
      </c>
      <c r="D36">
        <v>1</v>
      </c>
      <c r="E36">
        <v>5</v>
      </c>
      <c r="F36">
        <v>5</v>
      </c>
      <c r="J36" s="1" t="s">
        <v>15</v>
      </c>
      <c r="K36">
        <v>1</v>
      </c>
      <c r="L36">
        <v>0</v>
      </c>
      <c r="M36" t="str">
        <f>IF(tblPenalties[[#This Row],[total_yards]]=0, "Declined", "Accepted")</f>
        <v>Accepted</v>
      </c>
    </row>
    <row r="37" spans="1:13" x14ac:dyDescent="0.25">
      <c r="A37" s="1" t="s">
        <v>54</v>
      </c>
      <c r="B37" s="1" t="s">
        <v>13</v>
      </c>
      <c r="C37" s="1" t="s">
        <v>22</v>
      </c>
      <c r="D37">
        <v>5</v>
      </c>
      <c r="E37">
        <v>25</v>
      </c>
      <c r="F37">
        <v>5</v>
      </c>
      <c r="J37" s="1" t="s">
        <v>15</v>
      </c>
      <c r="K37">
        <v>1</v>
      </c>
      <c r="L37">
        <v>0</v>
      </c>
      <c r="M37" t="str">
        <f>IF(tblPenalties[[#This Row],[total_yards]]=0, "Declined", "Accepted")</f>
        <v>Accepted</v>
      </c>
    </row>
    <row r="38" spans="1:13" x14ac:dyDescent="0.25">
      <c r="A38" s="1" t="s">
        <v>54</v>
      </c>
      <c r="B38" s="1" t="s">
        <v>13</v>
      </c>
      <c r="C38" s="1" t="s">
        <v>31</v>
      </c>
      <c r="D38">
        <v>4</v>
      </c>
      <c r="E38">
        <v>20</v>
      </c>
      <c r="F38">
        <v>5</v>
      </c>
      <c r="J38" s="1" t="s">
        <v>15</v>
      </c>
      <c r="K38">
        <v>1</v>
      </c>
      <c r="L38">
        <v>0</v>
      </c>
      <c r="M38" t="str">
        <f>IF(tblPenalties[[#This Row],[total_yards]]=0, "Declined", "Accepted")</f>
        <v>Accepted</v>
      </c>
    </row>
    <row r="39" spans="1:13" x14ac:dyDescent="0.25">
      <c r="A39" s="1" t="s">
        <v>55</v>
      </c>
      <c r="B39" s="1" t="s">
        <v>40</v>
      </c>
      <c r="C39" s="1" t="s">
        <v>14</v>
      </c>
      <c r="D39">
        <v>6</v>
      </c>
      <c r="E39">
        <v>30</v>
      </c>
      <c r="F39">
        <v>5</v>
      </c>
      <c r="J39" s="1" t="s">
        <v>15</v>
      </c>
      <c r="K39">
        <v>1</v>
      </c>
      <c r="L39">
        <v>0</v>
      </c>
      <c r="M39" t="str">
        <f>IF(tblPenalties[[#This Row],[total_yards]]=0, "Declined", "Accepted")</f>
        <v>Accepted</v>
      </c>
    </row>
    <row r="40" spans="1:13" x14ac:dyDescent="0.25">
      <c r="A40" s="1" t="s">
        <v>55</v>
      </c>
      <c r="B40" s="1" t="s">
        <v>40</v>
      </c>
      <c r="C40" s="1" t="s">
        <v>22</v>
      </c>
      <c r="D40">
        <v>4</v>
      </c>
      <c r="E40">
        <v>20</v>
      </c>
      <c r="F40">
        <v>5</v>
      </c>
      <c r="J40" s="1" t="s">
        <v>15</v>
      </c>
      <c r="K40">
        <v>1</v>
      </c>
      <c r="L40">
        <v>0</v>
      </c>
      <c r="M40" t="str">
        <f>IF(tblPenalties[[#This Row],[total_yards]]=0, "Declined", "Accepted")</f>
        <v>Accepted</v>
      </c>
    </row>
    <row r="41" spans="1:13" x14ac:dyDescent="0.25">
      <c r="A41" s="1" t="s">
        <v>56</v>
      </c>
      <c r="B41" s="1" t="s">
        <v>40</v>
      </c>
      <c r="C41" s="1" t="s">
        <v>14</v>
      </c>
      <c r="D41">
        <v>9</v>
      </c>
      <c r="E41">
        <v>45</v>
      </c>
      <c r="F41">
        <v>5</v>
      </c>
      <c r="J41" s="1" t="s">
        <v>15</v>
      </c>
      <c r="K41">
        <v>1</v>
      </c>
      <c r="L41">
        <v>0</v>
      </c>
      <c r="M41" t="str">
        <f>IF(tblPenalties[[#This Row],[total_yards]]=0, "Declined", "Accepted")</f>
        <v>Accepted</v>
      </c>
    </row>
    <row r="42" spans="1:13" x14ac:dyDescent="0.25">
      <c r="A42" s="1" t="s">
        <v>56</v>
      </c>
      <c r="B42" s="1" t="s">
        <v>40</v>
      </c>
      <c r="C42" s="1" t="s">
        <v>22</v>
      </c>
      <c r="D42">
        <v>3</v>
      </c>
      <c r="E42">
        <v>15</v>
      </c>
      <c r="F42">
        <v>5</v>
      </c>
      <c r="J42" s="1" t="s">
        <v>15</v>
      </c>
      <c r="K42">
        <v>1</v>
      </c>
      <c r="L42">
        <v>0</v>
      </c>
      <c r="M42" t="str">
        <f>IF(tblPenalties[[#This Row],[total_yards]]=0, "Declined", "Accepted")</f>
        <v>Accepted</v>
      </c>
    </row>
    <row r="43" spans="1:13" x14ac:dyDescent="0.25">
      <c r="A43" s="1" t="s">
        <v>57</v>
      </c>
      <c r="B43" s="1" t="s">
        <v>19</v>
      </c>
      <c r="C43" s="1" t="s">
        <v>14</v>
      </c>
      <c r="D43">
        <v>6</v>
      </c>
      <c r="E43">
        <v>30</v>
      </c>
      <c r="F43">
        <v>5</v>
      </c>
      <c r="J43" s="1" t="s">
        <v>15</v>
      </c>
      <c r="K43">
        <v>1</v>
      </c>
      <c r="L43">
        <v>0</v>
      </c>
      <c r="M43" t="str">
        <f>IF(tblPenalties[[#This Row],[total_yards]]=0, "Declined", "Accepted")</f>
        <v>Accepted</v>
      </c>
    </row>
    <row r="44" spans="1:13" x14ac:dyDescent="0.25">
      <c r="A44" s="1" t="s">
        <v>58</v>
      </c>
      <c r="B44" s="1" t="s">
        <v>19</v>
      </c>
      <c r="C44" s="1" t="s">
        <v>22</v>
      </c>
      <c r="D44">
        <v>2</v>
      </c>
      <c r="E44">
        <v>10</v>
      </c>
      <c r="F44">
        <v>5</v>
      </c>
      <c r="J44" s="1" t="s">
        <v>15</v>
      </c>
      <c r="K44">
        <v>1</v>
      </c>
      <c r="L44">
        <v>0</v>
      </c>
      <c r="M44" t="str">
        <f>IF(tblPenalties[[#This Row],[total_yards]]=0, "Declined", "Accepted")</f>
        <v>Accepted</v>
      </c>
    </row>
    <row r="45" spans="1:13" x14ac:dyDescent="0.25">
      <c r="A45" s="1" t="s">
        <v>59</v>
      </c>
      <c r="B45" s="1" t="s">
        <v>40</v>
      </c>
      <c r="C45" s="1" t="s">
        <v>14</v>
      </c>
      <c r="D45">
        <v>7</v>
      </c>
      <c r="E45">
        <v>35</v>
      </c>
      <c r="F45">
        <v>5</v>
      </c>
      <c r="J45" s="1" t="s">
        <v>15</v>
      </c>
      <c r="K45">
        <v>1</v>
      </c>
      <c r="L45">
        <v>0</v>
      </c>
      <c r="M45" t="str">
        <f>IF(tblPenalties[[#This Row],[total_yards]]=0, "Declined", "Accepted")</f>
        <v>Accepted</v>
      </c>
    </row>
    <row r="46" spans="1:13" x14ac:dyDescent="0.25">
      <c r="A46" s="1" t="s">
        <v>59</v>
      </c>
      <c r="B46" s="1" t="s">
        <v>40</v>
      </c>
      <c r="C46" s="1" t="s">
        <v>22</v>
      </c>
      <c r="D46">
        <v>1</v>
      </c>
      <c r="E46">
        <v>5</v>
      </c>
      <c r="F46">
        <v>5</v>
      </c>
      <c r="J46" s="1" t="s">
        <v>15</v>
      </c>
      <c r="K46">
        <v>1</v>
      </c>
      <c r="L46">
        <v>0</v>
      </c>
      <c r="M46" t="str">
        <f>IF(tblPenalties[[#This Row],[total_yards]]=0, "Declined", "Accepted")</f>
        <v>Accepted</v>
      </c>
    </row>
    <row r="47" spans="1:13" x14ac:dyDescent="0.25">
      <c r="A47" s="1" t="s">
        <v>60</v>
      </c>
      <c r="B47" s="1" t="s">
        <v>40</v>
      </c>
      <c r="C47" s="1" t="s">
        <v>22</v>
      </c>
      <c r="D47">
        <v>4</v>
      </c>
      <c r="E47">
        <v>20</v>
      </c>
      <c r="F47">
        <v>5</v>
      </c>
      <c r="J47" s="1" t="s">
        <v>15</v>
      </c>
      <c r="K47">
        <v>1</v>
      </c>
      <c r="L47">
        <v>0</v>
      </c>
      <c r="M47" t="str">
        <f>IF(tblPenalties[[#This Row],[total_yards]]=0, "Declined", "Accepted")</f>
        <v>Accepted</v>
      </c>
    </row>
    <row r="48" spans="1:13" x14ac:dyDescent="0.25">
      <c r="A48" s="1" t="s">
        <v>60</v>
      </c>
      <c r="B48" s="1" t="s">
        <v>40</v>
      </c>
      <c r="C48" s="1" t="s">
        <v>31</v>
      </c>
      <c r="D48">
        <v>2</v>
      </c>
      <c r="E48">
        <v>10</v>
      </c>
      <c r="F48">
        <v>5</v>
      </c>
      <c r="J48" s="1" t="s">
        <v>15</v>
      </c>
      <c r="K48">
        <v>1</v>
      </c>
      <c r="L48">
        <v>0</v>
      </c>
      <c r="M48" t="str">
        <f>IF(tblPenalties[[#This Row],[total_yards]]=0, "Declined", "Accepted")</f>
        <v>Accepted</v>
      </c>
    </row>
    <row r="49" spans="1:13" x14ac:dyDescent="0.25">
      <c r="A49" s="1" t="s">
        <v>61</v>
      </c>
      <c r="B49" s="1" t="s">
        <v>13</v>
      </c>
      <c r="C49" s="1" t="s">
        <v>22</v>
      </c>
      <c r="D49">
        <v>3</v>
      </c>
      <c r="E49">
        <v>15</v>
      </c>
      <c r="F49">
        <v>5</v>
      </c>
      <c r="J49" s="1" t="s">
        <v>15</v>
      </c>
      <c r="K49">
        <v>1</v>
      </c>
      <c r="L49">
        <v>0</v>
      </c>
      <c r="M49" t="str">
        <f>IF(tblPenalties[[#This Row],[total_yards]]=0, "Declined", "Accepted")</f>
        <v>Accepted</v>
      </c>
    </row>
    <row r="50" spans="1:13" x14ac:dyDescent="0.25">
      <c r="A50" s="1" t="s">
        <v>62</v>
      </c>
      <c r="B50" s="1" t="s">
        <v>40</v>
      </c>
      <c r="C50" s="1" t="s">
        <v>22</v>
      </c>
      <c r="D50">
        <v>6</v>
      </c>
      <c r="E50">
        <v>30</v>
      </c>
      <c r="F50">
        <v>5</v>
      </c>
      <c r="J50" s="1" t="s">
        <v>15</v>
      </c>
      <c r="K50">
        <v>1</v>
      </c>
      <c r="L50">
        <v>0</v>
      </c>
      <c r="M50" t="str">
        <f>IF(tblPenalties[[#This Row],[total_yards]]=0, "Declined", "Accepted")</f>
        <v>Accepted</v>
      </c>
    </row>
    <row r="51" spans="1:13" x14ac:dyDescent="0.25">
      <c r="A51" s="1" t="s">
        <v>63</v>
      </c>
      <c r="B51" s="1" t="s">
        <v>13</v>
      </c>
      <c r="C51" s="1" t="s">
        <v>14</v>
      </c>
      <c r="D51">
        <v>9</v>
      </c>
      <c r="E51">
        <v>45</v>
      </c>
      <c r="F51">
        <v>5</v>
      </c>
      <c r="J51" s="1" t="s">
        <v>15</v>
      </c>
      <c r="K51">
        <v>1</v>
      </c>
      <c r="L51">
        <v>0</v>
      </c>
      <c r="M51" t="str">
        <f>IF(tblPenalties[[#This Row],[total_yards]]=0, "Declined", "Accepted")</f>
        <v>Accepted</v>
      </c>
    </row>
    <row r="52" spans="1:13" x14ac:dyDescent="0.25">
      <c r="A52" s="1" t="s">
        <v>63</v>
      </c>
      <c r="B52" s="1" t="s">
        <v>13</v>
      </c>
      <c r="C52" s="1" t="s">
        <v>22</v>
      </c>
      <c r="D52">
        <v>1</v>
      </c>
      <c r="E52">
        <v>5</v>
      </c>
      <c r="F52">
        <v>5</v>
      </c>
      <c r="J52" s="1" t="s">
        <v>15</v>
      </c>
      <c r="K52">
        <v>1</v>
      </c>
      <c r="L52">
        <v>0</v>
      </c>
      <c r="M52" t="str">
        <f>IF(tblPenalties[[#This Row],[total_yards]]=0, "Declined", "Accepted")</f>
        <v>Accepted</v>
      </c>
    </row>
    <row r="53" spans="1:13" x14ac:dyDescent="0.25">
      <c r="A53" s="1" t="s">
        <v>64</v>
      </c>
      <c r="B53" s="1" t="s">
        <v>52</v>
      </c>
      <c r="C53" s="1" t="s">
        <v>22</v>
      </c>
      <c r="D53">
        <v>2</v>
      </c>
      <c r="E53">
        <v>10</v>
      </c>
      <c r="F53">
        <v>5</v>
      </c>
      <c r="J53" s="1" t="s">
        <v>15</v>
      </c>
      <c r="K53">
        <v>1</v>
      </c>
      <c r="L53">
        <v>0</v>
      </c>
      <c r="M53" t="str">
        <f>IF(tblPenalties[[#This Row],[total_yards]]=0, "Declined", "Accepted")</f>
        <v>Accepted</v>
      </c>
    </row>
    <row r="54" spans="1:13" x14ac:dyDescent="0.25">
      <c r="A54" s="1" t="s">
        <v>65</v>
      </c>
      <c r="B54" s="1" t="s">
        <v>34</v>
      </c>
      <c r="C54" s="1" t="s">
        <v>22</v>
      </c>
      <c r="D54">
        <v>2</v>
      </c>
      <c r="E54">
        <v>10</v>
      </c>
      <c r="F54">
        <v>5</v>
      </c>
      <c r="J54" s="1" t="s">
        <v>15</v>
      </c>
      <c r="K54">
        <v>1</v>
      </c>
      <c r="L54">
        <v>0</v>
      </c>
      <c r="M54" t="str">
        <f>IF(tblPenalties[[#This Row],[total_yards]]=0, "Declined", "Accepted")</f>
        <v>Accepted</v>
      </c>
    </row>
    <row r="55" spans="1:13" x14ac:dyDescent="0.25">
      <c r="A55" s="1" t="s">
        <v>66</v>
      </c>
      <c r="B55" s="1" t="s">
        <v>21</v>
      </c>
      <c r="C55" s="1" t="s">
        <v>14</v>
      </c>
      <c r="D55">
        <v>12</v>
      </c>
      <c r="E55">
        <v>60</v>
      </c>
      <c r="F55">
        <v>5</v>
      </c>
      <c r="J55" s="1" t="s">
        <v>15</v>
      </c>
      <c r="K55">
        <v>1</v>
      </c>
      <c r="L55">
        <v>0</v>
      </c>
      <c r="M55" t="str">
        <f>IF(tblPenalties[[#This Row],[total_yards]]=0, "Declined", "Accepted")</f>
        <v>Accepted</v>
      </c>
    </row>
    <row r="56" spans="1:13" x14ac:dyDescent="0.25">
      <c r="A56" s="1" t="s">
        <v>66</v>
      </c>
      <c r="B56" s="1" t="s">
        <v>21</v>
      </c>
      <c r="C56" s="1" t="s">
        <v>31</v>
      </c>
      <c r="D56">
        <v>7</v>
      </c>
      <c r="E56">
        <v>35</v>
      </c>
      <c r="F56">
        <v>5</v>
      </c>
      <c r="J56" s="1" t="s">
        <v>15</v>
      </c>
      <c r="K56">
        <v>1</v>
      </c>
      <c r="L56">
        <v>0</v>
      </c>
      <c r="M56" t="str">
        <f>IF(tblPenalties[[#This Row],[total_yards]]=0, "Declined", "Accepted")</f>
        <v>Accepted</v>
      </c>
    </row>
    <row r="57" spans="1:13" x14ac:dyDescent="0.25">
      <c r="A57" s="1" t="s">
        <v>66</v>
      </c>
      <c r="B57" s="1" t="s">
        <v>21</v>
      </c>
      <c r="C57" s="1" t="s">
        <v>22</v>
      </c>
      <c r="D57">
        <v>5</v>
      </c>
      <c r="E57">
        <v>25</v>
      </c>
      <c r="F57">
        <v>5</v>
      </c>
      <c r="J57" s="1" t="s">
        <v>15</v>
      </c>
      <c r="K57">
        <v>1</v>
      </c>
      <c r="L57">
        <v>0</v>
      </c>
      <c r="M57" t="str">
        <f>IF(tblPenalties[[#This Row],[total_yards]]=0, "Declined", "Accepted")</f>
        <v>Accepted</v>
      </c>
    </row>
    <row r="58" spans="1:13" x14ac:dyDescent="0.25">
      <c r="A58" s="1" t="s">
        <v>67</v>
      </c>
      <c r="B58" s="1" t="s">
        <v>52</v>
      </c>
      <c r="C58" s="1" t="s">
        <v>22</v>
      </c>
      <c r="D58">
        <v>3</v>
      </c>
      <c r="E58">
        <v>15</v>
      </c>
      <c r="F58">
        <v>5</v>
      </c>
      <c r="J58" s="1" t="s">
        <v>15</v>
      </c>
      <c r="K58">
        <v>1</v>
      </c>
      <c r="L58">
        <v>0</v>
      </c>
      <c r="M58" t="str">
        <f>IF(tblPenalties[[#This Row],[total_yards]]=0, "Declined", "Accepted")</f>
        <v>Accepted</v>
      </c>
    </row>
    <row r="59" spans="1:13" x14ac:dyDescent="0.25">
      <c r="A59" s="1" t="s">
        <v>68</v>
      </c>
      <c r="B59" s="1" t="s">
        <v>19</v>
      </c>
      <c r="C59" s="1" t="s">
        <v>22</v>
      </c>
      <c r="D59">
        <v>3</v>
      </c>
      <c r="E59">
        <v>15</v>
      </c>
      <c r="F59">
        <v>5</v>
      </c>
      <c r="J59" s="1" t="s">
        <v>15</v>
      </c>
      <c r="K59">
        <v>1</v>
      </c>
      <c r="L59">
        <v>0</v>
      </c>
      <c r="M59" t="str">
        <f>IF(tblPenalties[[#This Row],[total_yards]]=0, "Declined", "Accepted")</f>
        <v>Accepted</v>
      </c>
    </row>
    <row r="60" spans="1:13" x14ac:dyDescent="0.25">
      <c r="A60" s="1" t="s">
        <v>69</v>
      </c>
      <c r="B60" s="1" t="s">
        <v>40</v>
      </c>
      <c r="C60" s="1" t="s">
        <v>14</v>
      </c>
      <c r="D60">
        <v>12</v>
      </c>
      <c r="E60">
        <v>60</v>
      </c>
      <c r="F60">
        <v>5</v>
      </c>
      <c r="J60" s="1" t="s">
        <v>15</v>
      </c>
      <c r="K60">
        <v>1</v>
      </c>
      <c r="L60">
        <v>0</v>
      </c>
      <c r="M60" t="str">
        <f>IF(tblPenalties[[#This Row],[total_yards]]=0, "Declined", "Accepted")</f>
        <v>Accepted</v>
      </c>
    </row>
    <row r="61" spans="1:13" x14ac:dyDescent="0.25">
      <c r="A61" s="1" t="s">
        <v>69</v>
      </c>
      <c r="B61" s="1" t="s">
        <v>40</v>
      </c>
      <c r="C61" s="1" t="s">
        <v>22</v>
      </c>
      <c r="D61">
        <v>2</v>
      </c>
      <c r="E61">
        <v>10</v>
      </c>
      <c r="F61">
        <v>5</v>
      </c>
      <c r="J61" s="1" t="s">
        <v>15</v>
      </c>
      <c r="K61">
        <v>1</v>
      </c>
      <c r="L61">
        <v>0</v>
      </c>
      <c r="M61" t="str">
        <f>IF(tblPenalties[[#This Row],[total_yards]]=0, "Declined", "Accepted")</f>
        <v>Accepted</v>
      </c>
    </row>
    <row r="62" spans="1:13" x14ac:dyDescent="0.25">
      <c r="A62" s="1" t="s">
        <v>70</v>
      </c>
      <c r="B62" s="1" t="s">
        <v>21</v>
      </c>
      <c r="C62" s="1" t="s">
        <v>14</v>
      </c>
      <c r="D62">
        <v>13</v>
      </c>
      <c r="E62">
        <v>65</v>
      </c>
      <c r="F62">
        <v>5</v>
      </c>
      <c r="J62" s="1" t="s">
        <v>15</v>
      </c>
      <c r="K62">
        <v>1</v>
      </c>
      <c r="L62">
        <v>0</v>
      </c>
      <c r="M62" t="str">
        <f>IF(tblPenalties[[#This Row],[total_yards]]=0, "Declined", "Accepted")</f>
        <v>Accepted</v>
      </c>
    </row>
    <row r="63" spans="1:13" x14ac:dyDescent="0.25">
      <c r="A63" s="1" t="s">
        <v>71</v>
      </c>
      <c r="B63" s="1" t="s">
        <v>34</v>
      </c>
      <c r="C63" s="1" t="s">
        <v>22</v>
      </c>
      <c r="D63">
        <v>1</v>
      </c>
      <c r="E63">
        <v>5</v>
      </c>
      <c r="F63">
        <v>5</v>
      </c>
      <c r="J63" s="1" t="s">
        <v>15</v>
      </c>
      <c r="K63">
        <v>1</v>
      </c>
      <c r="L63">
        <v>0</v>
      </c>
      <c r="M63" t="str">
        <f>IF(tblPenalties[[#This Row],[total_yards]]=0, "Declined", "Accepted")</f>
        <v>Accepted</v>
      </c>
    </row>
    <row r="64" spans="1:13" x14ac:dyDescent="0.25">
      <c r="A64" s="1" t="s">
        <v>71</v>
      </c>
      <c r="B64" s="1" t="s">
        <v>34</v>
      </c>
      <c r="C64" s="1" t="s">
        <v>23</v>
      </c>
      <c r="D64">
        <v>1</v>
      </c>
      <c r="E64">
        <v>5</v>
      </c>
      <c r="F64">
        <v>5</v>
      </c>
      <c r="J64" s="1" t="s">
        <v>15</v>
      </c>
      <c r="K64">
        <v>1</v>
      </c>
      <c r="L64">
        <v>0</v>
      </c>
      <c r="M64" t="str">
        <f>IF(tblPenalties[[#This Row],[total_yards]]=0, "Declined", "Accepted")</f>
        <v>Accepted</v>
      </c>
    </row>
    <row r="65" spans="1:13" x14ac:dyDescent="0.25">
      <c r="A65" s="1" t="s">
        <v>72</v>
      </c>
      <c r="B65" s="1" t="s">
        <v>34</v>
      </c>
      <c r="C65" s="1" t="s">
        <v>22</v>
      </c>
      <c r="D65">
        <v>6</v>
      </c>
      <c r="E65">
        <v>30</v>
      </c>
      <c r="F65">
        <v>5</v>
      </c>
      <c r="J65" s="1" t="s">
        <v>15</v>
      </c>
      <c r="K65">
        <v>1</v>
      </c>
      <c r="L65">
        <v>0</v>
      </c>
      <c r="M65" t="str">
        <f>IF(tblPenalties[[#This Row],[total_yards]]=0, "Declined", "Accepted")</f>
        <v>Accepted</v>
      </c>
    </row>
    <row r="66" spans="1:13" x14ac:dyDescent="0.25">
      <c r="A66" s="1" t="s">
        <v>73</v>
      </c>
      <c r="B66" s="1" t="s">
        <v>26</v>
      </c>
      <c r="C66" s="1" t="s">
        <v>22</v>
      </c>
      <c r="D66">
        <v>4</v>
      </c>
      <c r="E66">
        <v>20</v>
      </c>
      <c r="F66">
        <v>5</v>
      </c>
      <c r="J66" s="1" t="s">
        <v>15</v>
      </c>
      <c r="K66">
        <v>1</v>
      </c>
      <c r="L66">
        <v>0</v>
      </c>
      <c r="M66" t="str">
        <f>IF(tblPenalties[[#This Row],[total_yards]]=0, "Declined", "Accepted")</f>
        <v>Accepted</v>
      </c>
    </row>
    <row r="67" spans="1:13" x14ac:dyDescent="0.25">
      <c r="A67" s="1" t="s">
        <v>74</v>
      </c>
      <c r="B67" s="1" t="s">
        <v>40</v>
      </c>
      <c r="C67" s="1" t="s">
        <v>22</v>
      </c>
      <c r="D67">
        <v>1</v>
      </c>
      <c r="E67">
        <v>5</v>
      </c>
      <c r="F67">
        <v>5</v>
      </c>
      <c r="J67" s="1" t="s">
        <v>15</v>
      </c>
      <c r="K67">
        <v>1</v>
      </c>
      <c r="L67">
        <v>0</v>
      </c>
      <c r="M67" t="str">
        <f>IF(tblPenalties[[#This Row],[total_yards]]=0, "Declined", "Accepted")</f>
        <v>Accepted</v>
      </c>
    </row>
    <row r="68" spans="1:13" x14ac:dyDescent="0.25">
      <c r="A68" s="1" t="s">
        <v>75</v>
      </c>
      <c r="B68" s="1" t="s">
        <v>13</v>
      </c>
      <c r="C68" s="1" t="s">
        <v>22</v>
      </c>
      <c r="D68">
        <v>1</v>
      </c>
      <c r="E68">
        <v>5</v>
      </c>
      <c r="F68">
        <v>5</v>
      </c>
      <c r="J68" s="1" t="s">
        <v>15</v>
      </c>
      <c r="K68">
        <v>1</v>
      </c>
      <c r="L68">
        <v>0</v>
      </c>
      <c r="M68" t="str">
        <f>IF(tblPenalties[[#This Row],[total_yards]]=0, "Declined", "Accepted")</f>
        <v>Accepted</v>
      </c>
    </row>
    <row r="69" spans="1:13" x14ac:dyDescent="0.25">
      <c r="A69" s="1" t="s">
        <v>76</v>
      </c>
      <c r="B69" s="1" t="s">
        <v>21</v>
      </c>
      <c r="C69" s="1" t="s">
        <v>22</v>
      </c>
      <c r="D69">
        <v>7</v>
      </c>
      <c r="E69">
        <v>35</v>
      </c>
      <c r="F69">
        <v>5</v>
      </c>
      <c r="J69" s="1" t="s">
        <v>15</v>
      </c>
      <c r="K69">
        <v>1</v>
      </c>
      <c r="L69">
        <v>0</v>
      </c>
      <c r="M69" t="str">
        <f>IF(tblPenalties[[#This Row],[total_yards]]=0, "Declined", "Accepted")</f>
        <v>Accepted</v>
      </c>
    </row>
    <row r="70" spans="1:13" x14ac:dyDescent="0.25">
      <c r="A70" s="1" t="s">
        <v>77</v>
      </c>
      <c r="B70" s="1" t="s">
        <v>17</v>
      </c>
      <c r="C70" s="1" t="s">
        <v>22</v>
      </c>
      <c r="D70">
        <v>3</v>
      </c>
      <c r="E70">
        <v>15</v>
      </c>
      <c r="F70">
        <v>5</v>
      </c>
      <c r="J70" s="1" t="s">
        <v>15</v>
      </c>
      <c r="K70">
        <v>1</v>
      </c>
      <c r="L70">
        <v>0</v>
      </c>
      <c r="M70" t="str">
        <f>IF(tblPenalties[[#This Row],[total_yards]]=0, "Declined", "Accepted")</f>
        <v>Accepted</v>
      </c>
    </row>
    <row r="71" spans="1:13" x14ac:dyDescent="0.25">
      <c r="A71" s="1" t="s">
        <v>78</v>
      </c>
      <c r="B71" s="1" t="s">
        <v>79</v>
      </c>
      <c r="C71" s="1" t="s">
        <v>14</v>
      </c>
      <c r="D71">
        <v>12</v>
      </c>
      <c r="E71">
        <v>60</v>
      </c>
      <c r="F71">
        <v>5</v>
      </c>
      <c r="J71" s="1" t="s">
        <v>15</v>
      </c>
      <c r="K71">
        <v>1</v>
      </c>
      <c r="L71">
        <v>0</v>
      </c>
      <c r="M71" t="str">
        <f>IF(tblPenalties[[#This Row],[total_yards]]=0, "Declined", "Accepted")</f>
        <v>Accepted</v>
      </c>
    </row>
    <row r="72" spans="1:13" x14ac:dyDescent="0.25">
      <c r="A72" s="1" t="s">
        <v>78</v>
      </c>
      <c r="B72" s="1" t="s">
        <v>79</v>
      </c>
      <c r="C72" s="1" t="s">
        <v>22</v>
      </c>
      <c r="D72">
        <v>4</v>
      </c>
      <c r="E72">
        <v>20</v>
      </c>
      <c r="F72">
        <v>5</v>
      </c>
      <c r="J72" s="1" t="s">
        <v>15</v>
      </c>
      <c r="K72">
        <v>1</v>
      </c>
      <c r="L72">
        <v>0</v>
      </c>
      <c r="M72" t="str">
        <f>IF(tblPenalties[[#This Row],[total_yards]]=0, "Declined", "Accepted")</f>
        <v>Accepted</v>
      </c>
    </row>
    <row r="73" spans="1:13" x14ac:dyDescent="0.25">
      <c r="A73" s="1" t="s">
        <v>80</v>
      </c>
      <c r="B73" s="1" t="s">
        <v>52</v>
      </c>
      <c r="C73" s="1" t="s">
        <v>22</v>
      </c>
      <c r="D73">
        <v>1</v>
      </c>
      <c r="E73">
        <v>5</v>
      </c>
      <c r="F73">
        <v>5</v>
      </c>
      <c r="J73" s="1" t="s">
        <v>15</v>
      </c>
      <c r="K73">
        <v>1</v>
      </c>
      <c r="L73">
        <v>0</v>
      </c>
      <c r="M73" t="str">
        <f>IF(tblPenalties[[#This Row],[total_yards]]=0, "Declined", "Accepted")</f>
        <v>Accepted</v>
      </c>
    </row>
    <row r="74" spans="1:13" x14ac:dyDescent="0.25">
      <c r="A74" s="1" t="s">
        <v>81</v>
      </c>
      <c r="B74" s="1" t="s">
        <v>52</v>
      </c>
      <c r="C74" s="1" t="s">
        <v>14</v>
      </c>
      <c r="D74">
        <v>5</v>
      </c>
      <c r="E74">
        <v>25</v>
      </c>
      <c r="F74">
        <v>5</v>
      </c>
      <c r="J74" s="1" t="s">
        <v>15</v>
      </c>
      <c r="K74">
        <v>1</v>
      </c>
      <c r="L74">
        <v>0</v>
      </c>
      <c r="M74" t="str">
        <f>IF(tblPenalties[[#This Row],[total_yards]]=0, "Declined", "Accepted")</f>
        <v>Accepted</v>
      </c>
    </row>
    <row r="75" spans="1:13" x14ac:dyDescent="0.25">
      <c r="A75" s="1" t="s">
        <v>82</v>
      </c>
      <c r="B75" s="1" t="s">
        <v>34</v>
      </c>
      <c r="C75" s="1" t="s">
        <v>49</v>
      </c>
      <c r="D75">
        <v>1</v>
      </c>
      <c r="E75">
        <v>5</v>
      </c>
      <c r="F75">
        <v>5</v>
      </c>
      <c r="J75" s="1" t="s">
        <v>15</v>
      </c>
      <c r="K75">
        <v>1</v>
      </c>
      <c r="L75">
        <v>0</v>
      </c>
      <c r="M75" t="str">
        <f>IF(tblPenalties[[#This Row],[total_yards]]=0, "Declined", "Accepted")</f>
        <v>Accepted</v>
      </c>
    </row>
    <row r="76" spans="1:13" x14ac:dyDescent="0.25">
      <c r="A76" s="1" t="s">
        <v>83</v>
      </c>
      <c r="B76" s="1" t="s">
        <v>52</v>
      </c>
      <c r="C76" s="1" t="s">
        <v>22</v>
      </c>
      <c r="D76">
        <v>4</v>
      </c>
      <c r="E76">
        <v>20</v>
      </c>
      <c r="F76">
        <v>5</v>
      </c>
      <c r="J76" s="1" t="s">
        <v>15</v>
      </c>
      <c r="K76">
        <v>1</v>
      </c>
      <c r="L76">
        <v>0</v>
      </c>
      <c r="M76" t="str">
        <f>IF(tblPenalties[[#This Row],[total_yards]]=0, "Declined", "Accepted")</f>
        <v>Accepted</v>
      </c>
    </row>
    <row r="77" spans="1:13" x14ac:dyDescent="0.25">
      <c r="A77" s="1" t="s">
        <v>84</v>
      </c>
      <c r="B77" s="1" t="s">
        <v>13</v>
      </c>
      <c r="C77" s="1" t="s">
        <v>22</v>
      </c>
      <c r="D77">
        <v>4</v>
      </c>
      <c r="E77">
        <v>20</v>
      </c>
      <c r="F77">
        <v>5</v>
      </c>
      <c r="J77" s="1" t="s">
        <v>15</v>
      </c>
      <c r="K77">
        <v>1</v>
      </c>
      <c r="L77">
        <v>0</v>
      </c>
      <c r="M77" t="str">
        <f>IF(tblPenalties[[#This Row],[total_yards]]=0, "Declined", "Accepted")</f>
        <v>Accepted</v>
      </c>
    </row>
    <row r="78" spans="1:13" x14ac:dyDescent="0.25">
      <c r="A78" s="1" t="s">
        <v>85</v>
      </c>
      <c r="B78" s="1" t="s">
        <v>28</v>
      </c>
      <c r="C78" s="1" t="s">
        <v>31</v>
      </c>
      <c r="D78">
        <v>6</v>
      </c>
      <c r="E78">
        <v>30</v>
      </c>
      <c r="F78">
        <v>5</v>
      </c>
      <c r="J78" s="1" t="s">
        <v>15</v>
      </c>
      <c r="K78">
        <v>1</v>
      </c>
      <c r="L78">
        <v>0</v>
      </c>
      <c r="M78" t="str">
        <f>IF(tblPenalties[[#This Row],[total_yards]]=0, "Declined", "Accepted")</f>
        <v>Accepted</v>
      </c>
    </row>
    <row r="79" spans="1:13" x14ac:dyDescent="0.25">
      <c r="A79" s="1" t="s">
        <v>85</v>
      </c>
      <c r="B79" s="1" t="s">
        <v>28</v>
      </c>
      <c r="C79" s="1" t="s">
        <v>14</v>
      </c>
      <c r="D79">
        <v>4</v>
      </c>
      <c r="E79">
        <v>20</v>
      </c>
      <c r="F79">
        <v>5</v>
      </c>
      <c r="J79" s="1" t="s">
        <v>15</v>
      </c>
      <c r="K79">
        <v>1</v>
      </c>
      <c r="L79">
        <v>0</v>
      </c>
      <c r="M79" t="str">
        <f>IF(tblPenalties[[#This Row],[total_yards]]=0, "Declined", "Accepted")</f>
        <v>Accepted</v>
      </c>
    </row>
    <row r="80" spans="1:13" x14ac:dyDescent="0.25">
      <c r="A80" s="1" t="s">
        <v>85</v>
      </c>
      <c r="B80" s="1" t="s">
        <v>28</v>
      </c>
      <c r="C80" s="1" t="s">
        <v>22</v>
      </c>
      <c r="D80">
        <v>1</v>
      </c>
      <c r="E80">
        <v>5</v>
      </c>
      <c r="F80">
        <v>5</v>
      </c>
      <c r="J80" s="1" t="s">
        <v>15</v>
      </c>
      <c r="K80">
        <v>1</v>
      </c>
      <c r="L80">
        <v>0</v>
      </c>
      <c r="M80" t="str">
        <f>IF(tblPenalties[[#This Row],[total_yards]]=0, "Declined", "Accepted")</f>
        <v>Accepted</v>
      </c>
    </row>
    <row r="81" spans="1:13" x14ac:dyDescent="0.25">
      <c r="A81" s="1" t="s">
        <v>86</v>
      </c>
      <c r="B81" s="1" t="s">
        <v>40</v>
      </c>
      <c r="C81" s="1" t="s">
        <v>22</v>
      </c>
      <c r="D81">
        <v>8</v>
      </c>
      <c r="E81">
        <v>40</v>
      </c>
      <c r="F81">
        <v>5</v>
      </c>
      <c r="J81" s="1" t="s">
        <v>15</v>
      </c>
      <c r="K81">
        <v>1</v>
      </c>
      <c r="L81">
        <v>0</v>
      </c>
      <c r="M81" t="str">
        <f>IF(tblPenalties[[#This Row],[total_yards]]=0, "Declined", "Accepted")</f>
        <v>Accepted</v>
      </c>
    </row>
    <row r="82" spans="1:13" x14ac:dyDescent="0.25">
      <c r="A82" s="1" t="s">
        <v>86</v>
      </c>
      <c r="B82" s="1" t="s">
        <v>40</v>
      </c>
      <c r="C82" s="1" t="s">
        <v>14</v>
      </c>
      <c r="D82">
        <v>7</v>
      </c>
      <c r="E82">
        <v>35</v>
      </c>
      <c r="F82">
        <v>5</v>
      </c>
      <c r="J82" s="1" t="s">
        <v>15</v>
      </c>
      <c r="K82">
        <v>1</v>
      </c>
      <c r="L82">
        <v>0</v>
      </c>
      <c r="M82" t="str">
        <f>IF(tblPenalties[[#This Row],[total_yards]]=0, "Declined", "Accepted")</f>
        <v>Accepted</v>
      </c>
    </row>
    <row r="83" spans="1:13" x14ac:dyDescent="0.25">
      <c r="A83" s="1" t="s">
        <v>87</v>
      </c>
      <c r="B83" s="1" t="s">
        <v>26</v>
      </c>
      <c r="C83" s="1" t="s">
        <v>14</v>
      </c>
      <c r="D83">
        <v>10</v>
      </c>
      <c r="E83">
        <v>50</v>
      </c>
      <c r="F83">
        <v>5</v>
      </c>
      <c r="J83" s="1" t="s">
        <v>15</v>
      </c>
      <c r="K83">
        <v>1</v>
      </c>
      <c r="L83">
        <v>0</v>
      </c>
      <c r="M83" t="str">
        <f>IF(tblPenalties[[#This Row],[total_yards]]=0, "Declined", "Accepted")</f>
        <v>Accepted</v>
      </c>
    </row>
    <row r="84" spans="1:13" x14ac:dyDescent="0.25">
      <c r="A84" s="1" t="s">
        <v>88</v>
      </c>
      <c r="B84" s="1" t="s">
        <v>19</v>
      </c>
      <c r="C84" s="1" t="s">
        <v>22</v>
      </c>
      <c r="D84">
        <v>3</v>
      </c>
      <c r="E84">
        <v>15</v>
      </c>
      <c r="F84">
        <v>5</v>
      </c>
      <c r="J84" s="1" t="s">
        <v>15</v>
      </c>
      <c r="K84">
        <v>1</v>
      </c>
      <c r="L84">
        <v>0</v>
      </c>
      <c r="M84" t="str">
        <f>IF(tblPenalties[[#This Row],[total_yards]]=0, "Declined", "Accepted")</f>
        <v>Accepted</v>
      </c>
    </row>
    <row r="85" spans="1:13" x14ac:dyDescent="0.25">
      <c r="A85" s="1" t="s">
        <v>89</v>
      </c>
      <c r="B85" s="1" t="s">
        <v>13</v>
      </c>
      <c r="C85" s="1" t="s">
        <v>14</v>
      </c>
      <c r="D85">
        <v>11</v>
      </c>
      <c r="E85">
        <v>55</v>
      </c>
      <c r="F85">
        <v>5</v>
      </c>
      <c r="J85" s="1" t="s">
        <v>15</v>
      </c>
      <c r="K85">
        <v>1</v>
      </c>
      <c r="L85">
        <v>0</v>
      </c>
      <c r="M85" t="str">
        <f>IF(tblPenalties[[#This Row],[total_yards]]=0, "Declined", "Accepted")</f>
        <v>Accepted</v>
      </c>
    </row>
    <row r="86" spans="1:13" x14ac:dyDescent="0.25">
      <c r="A86" s="1" t="s">
        <v>90</v>
      </c>
      <c r="B86" s="1" t="s">
        <v>28</v>
      </c>
      <c r="C86" s="1" t="s">
        <v>14</v>
      </c>
      <c r="D86">
        <v>13</v>
      </c>
      <c r="E86">
        <v>65</v>
      </c>
      <c r="F86">
        <v>5</v>
      </c>
      <c r="J86" s="1" t="s">
        <v>15</v>
      </c>
      <c r="K86">
        <v>1</v>
      </c>
      <c r="L86">
        <v>0</v>
      </c>
      <c r="M86" t="str">
        <f>IF(tblPenalties[[#This Row],[total_yards]]=0, "Declined", "Accepted")</f>
        <v>Accepted</v>
      </c>
    </row>
    <row r="87" spans="1:13" x14ac:dyDescent="0.25">
      <c r="A87" s="1" t="s">
        <v>90</v>
      </c>
      <c r="B87" s="1" t="s">
        <v>28</v>
      </c>
      <c r="C87" s="1" t="s">
        <v>22</v>
      </c>
      <c r="D87">
        <v>7</v>
      </c>
      <c r="E87">
        <v>35</v>
      </c>
      <c r="F87">
        <v>5</v>
      </c>
      <c r="J87" s="1" t="s">
        <v>15</v>
      </c>
      <c r="K87">
        <v>1</v>
      </c>
      <c r="L87">
        <v>0</v>
      </c>
      <c r="M87" t="str">
        <f>IF(tblPenalties[[#This Row],[total_yards]]=0, "Declined", "Accepted")</f>
        <v>Accepted</v>
      </c>
    </row>
    <row r="88" spans="1:13" x14ac:dyDescent="0.25">
      <c r="A88" s="1" t="s">
        <v>91</v>
      </c>
      <c r="B88" s="1" t="s">
        <v>17</v>
      </c>
      <c r="C88" s="1" t="s">
        <v>22</v>
      </c>
      <c r="D88">
        <v>1</v>
      </c>
      <c r="E88">
        <v>5</v>
      </c>
      <c r="F88">
        <v>5</v>
      </c>
      <c r="J88" s="1" t="s">
        <v>15</v>
      </c>
      <c r="K88">
        <v>1</v>
      </c>
      <c r="L88">
        <v>0</v>
      </c>
      <c r="M88" t="str">
        <f>IF(tblPenalties[[#This Row],[total_yards]]=0, "Declined", "Accepted")</f>
        <v>Accepted</v>
      </c>
    </row>
    <row r="89" spans="1:13" x14ac:dyDescent="0.25">
      <c r="A89" s="1" t="s">
        <v>92</v>
      </c>
      <c r="B89" s="1" t="s">
        <v>34</v>
      </c>
      <c r="C89" s="1" t="s">
        <v>14</v>
      </c>
      <c r="D89">
        <v>5</v>
      </c>
      <c r="E89">
        <v>25</v>
      </c>
      <c r="F89">
        <v>5</v>
      </c>
      <c r="J89" s="1" t="s">
        <v>15</v>
      </c>
      <c r="K89">
        <v>1</v>
      </c>
      <c r="L89">
        <v>0</v>
      </c>
      <c r="M89" t="str">
        <f>IF(tblPenalties[[#This Row],[total_yards]]=0, "Declined", "Accepted")</f>
        <v>Accepted</v>
      </c>
    </row>
    <row r="90" spans="1:13" x14ac:dyDescent="0.25">
      <c r="A90" s="1" t="s">
        <v>93</v>
      </c>
      <c r="B90" s="1" t="s">
        <v>21</v>
      </c>
      <c r="C90" s="1" t="s">
        <v>22</v>
      </c>
      <c r="D90">
        <v>4</v>
      </c>
      <c r="E90">
        <v>20</v>
      </c>
      <c r="F90">
        <v>5</v>
      </c>
      <c r="J90" s="1" t="s">
        <v>15</v>
      </c>
      <c r="K90">
        <v>1</v>
      </c>
      <c r="L90">
        <v>0</v>
      </c>
      <c r="M90" t="str">
        <f>IF(tblPenalties[[#This Row],[total_yards]]=0, "Declined", "Accepted")</f>
        <v>Accepted</v>
      </c>
    </row>
    <row r="91" spans="1:13" x14ac:dyDescent="0.25">
      <c r="A91" s="1" t="s">
        <v>94</v>
      </c>
      <c r="B91" s="1" t="s">
        <v>13</v>
      </c>
      <c r="C91" s="1" t="s">
        <v>22</v>
      </c>
      <c r="D91">
        <v>2</v>
      </c>
      <c r="E91">
        <v>10</v>
      </c>
      <c r="F91">
        <v>5</v>
      </c>
      <c r="J91" s="1" t="s">
        <v>15</v>
      </c>
      <c r="K91">
        <v>1</v>
      </c>
      <c r="L91">
        <v>0</v>
      </c>
      <c r="M91" t="str">
        <f>IF(tblPenalties[[#This Row],[total_yards]]=0, "Declined", "Accepted")</f>
        <v>Accepted</v>
      </c>
    </row>
    <row r="92" spans="1:13" x14ac:dyDescent="0.25">
      <c r="A92" s="1" t="s">
        <v>95</v>
      </c>
      <c r="B92" s="1" t="s">
        <v>34</v>
      </c>
      <c r="C92" s="1" t="s">
        <v>22</v>
      </c>
      <c r="D92">
        <v>2</v>
      </c>
      <c r="E92">
        <v>10</v>
      </c>
      <c r="F92">
        <v>5</v>
      </c>
      <c r="J92" s="1" t="s">
        <v>15</v>
      </c>
      <c r="K92">
        <v>1</v>
      </c>
      <c r="L92">
        <v>0</v>
      </c>
      <c r="M92" t="str">
        <f>IF(tblPenalties[[#This Row],[total_yards]]=0, "Declined", "Accepted")</f>
        <v>Accepted</v>
      </c>
    </row>
    <row r="93" spans="1:13" x14ac:dyDescent="0.25">
      <c r="A93" s="1" t="s">
        <v>96</v>
      </c>
      <c r="B93" s="1" t="s">
        <v>34</v>
      </c>
      <c r="C93" s="1" t="s">
        <v>14</v>
      </c>
      <c r="D93">
        <v>9</v>
      </c>
      <c r="E93">
        <v>45</v>
      </c>
      <c r="F93">
        <v>5</v>
      </c>
      <c r="J93" s="1" t="s">
        <v>15</v>
      </c>
      <c r="K93">
        <v>1</v>
      </c>
      <c r="L93">
        <v>0</v>
      </c>
      <c r="M93" t="str">
        <f>IF(tblPenalties[[#This Row],[total_yards]]=0, "Declined", "Accepted")</f>
        <v>Accepted</v>
      </c>
    </row>
    <row r="94" spans="1:13" x14ac:dyDescent="0.25">
      <c r="A94" s="1" t="s">
        <v>97</v>
      </c>
      <c r="B94" s="1" t="s">
        <v>34</v>
      </c>
      <c r="C94" s="1" t="s">
        <v>22</v>
      </c>
      <c r="D94">
        <v>3</v>
      </c>
      <c r="E94">
        <v>15</v>
      </c>
      <c r="F94">
        <v>5</v>
      </c>
      <c r="J94" s="1" t="s">
        <v>15</v>
      </c>
      <c r="K94">
        <v>1</v>
      </c>
      <c r="L94">
        <v>0</v>
      </c>
      <c r="M94" t="str">
        <f>IF(tblPenalties[[#This Row],[total_yards]]=0, "Declined", "Accepted")</f>
        <v>Accepted</v>
      </c>
    </row>
    <row r="95" spans="1:13" x14ac:dyDescent="0.25">
      <c r="A95" s="1" t="s">
        <v>98</v>
      </c>
      <c r="B95" s="1" t="s">
        <v>17</v>
      </c>
      <c r="C95" s="1" t="s">
        <v>49</v>
      </c>
      <c r="D95">
        <v>1</v>
      </c>
      <c r="E95">
        <v>5</v>
      </c>
      <c r="F95">
        <v>5</v>
      </c>
      <c r="J95" s="1" t="s">
        <v>15</v>
      </c>
      <c r="K95">
        <v>1</v>
      </c>
      <c r="L95">
        <v>0</v>
      </c>
      <c r="M95" t="str">
        <f>IF(tblPenalties[[#This Row],[total_yards]]=0, "Declined", "Accepted")</f>
        <v>Accepted</v>
      </c>
    </row>
    <row r="96" spans="1:13" x14ac:dyDescent="0.25">
      <c r="A96" s="1" t="s">
        <v>99</v>
      </c>
      <c r="B96" s="1" t="s">
        <v>100</v>
      </c>
      <c r="C96" s="1" t="s">
        <v>14</v>
      </c>
      <c r="D96">
        <v>6</v>
      </c>
      <c r="E96">
        <v>30</v>
      </c>
      <c r="F96">
        <v>5</v>
      </c>
      <c r="J96" s="1" t="s">
        <v>15</v>
      </c>
      <c r="K96">
        <v>1</v>
      </c>
      <c r="L96">
        <v>0</v>
      </c>
      <c r="M96" t="str">
        <f>IF(tblPenalties[[#This Row],[total_yards]]=0, "Declined", "Accepted")</f>
        <v>Accepted</v>
      </c>
    </row>
    <row r="97" spans="1:13" x14ac:dyDescent="0.25">
      <c r="A97" s="1" t="s">
        <v>101</v>
      </c>
      <c r="B97" s="1" t="s">
        <v>21</v>
      </c>
      <c r="C97" s="1" t="s">
        <v>31</v>
      </c>
      <c r="D97">
        <v>2</v>
      </c>
      <c r="E97">
        <v>10</v>
      </c>
      <c r="F97">
        <v>5</v>
      </c>
      <c r="J97" s="1" t="s">
        <v>15</v>
      </c>
      <c r="K97">
        <v>1</v>
      </c>
      <c r="L97">
        <v>0</v>
      </c>
      <c r="M97" t="str">
        <f>IF(tblPenalties[[#This Row],[total_yards]]=0, "Declined", "Accepted")</f>
        <v>Accepted</v>
      </c>
    </row>
    <row r="98" spans="1:13" x14ac:dyDescent="0.25">
      <c r="A98" s="1" t="s">
        <v>102</v>
      </c>
      <c r="B98" s="1" t="s">
        <v>26</v>
      </c>
      <c r="C98" s="1" t="s">
        <v>22</v>
      </c>
      <c r="D98">
        <v>2</v>
      </c>
      <c r="E98">
        <v>10</v>
      </c>
      <c r="F98">
        <v>5</v>
      </c>
      <c r="J98" s="1" t="s">
        <v>15</v>
      </c>
      <c r="K98">
        <v>1</v>
      </c>
      <c r="L98">
        <v>0</v>
      </c>
      <c r="M98" t="str">
        <f>IF(tblPenalties[[#This Row],[total_yards]]=0, "Declined", "Accepted")</f>
        <v>Accepted</v>
      </c>
    </row>
    <row r="99" spans="1:13" x14ac:dyDescent="0.25">
      <c r="A99" s="1" t="s">
        <v>103</v>
      </c>
      <c r="B99" s="1" t="s">
        <v>34</v>
      </c>
      <c r="C99" s="1" t="s">
        <v>14</v>
      </c>
      <c r="D99">
        <v>7</v>
      </c>
      <c r="E99">
        <v>35</v>
      </c>
      <c r="F99">
        <v>5</v>
      </c>
      <c r="J99" s="1" t="s">
        <v>15</v>
      </c>
      <c r="K99">
        <v>1</v>
      </c>
      <c r="L99">
        <v>0</v>
      </c>
      <c r="M99" t="str">
        <f>IF(tblPenalties[[#This Row],[total_yards]]=0, "Declined", "Accepted")</f>
        <v>Accepted</v>
      </c>
    </row>
    <row r="100" spans="1:13" x14ac:dyDescent="0.25">
      <c r="A100" s="1" t="s">
        <v>103</v>
      </c>
      <c r="B100" s="1" t="s">
        <v>34</v>
      </c>
      <c r="C100" s="1" t="s">
        <v>31</v>
      </c>
      <c r="D100">
        <v>4</v>
      </c>
      <c r="E100">
        <v>20</v>
      </c>
      <c r="F100">
        <v>5</v>
      </c>
      <c r="J100" s="1" t="s">
        <v>15</v>
      </c>
      <c r="K100">
        <v>1</v>
      </c>
      <c r="L100">
        <v>0</v>
      </c>
      <c r="M100" t="str">
        <f>IF(tblPenalties[[#This Row],[total_yards]]=0, "Declined", "Accepted")</f>
        <v>Accepted</v>
      </c>
    </row>
    <row r="101" spans="1:13" x14ac:dyDescent="0.25">
      <c r="A101" s="1" t="s">
        <v>104</v>
      </c>
      <c r="B101" s="1" t="s">
        <v>34</v>
      </c>
      <c r="C101" s="1" t="s">
        <v>22</v>
      </c>
      <c r="D101">
        <v>2</v>
      </c>
      <c r="E101">
        <v>10</v>
      </c>
      <c r="F101">
        <v>5</v>
      </c>
      <c r="J101" s="1" t="s">
        <v>15</v>
      </c>
      <c r="K101">
        <v>1</v>
      </c>
      <c r="L101">
        <v>0</v>
      </c>
      <c r="M101" t="str">
        <f>IF(tblPenalties[[#This Row],[total_yards]]=0, "Declined", "Accepted")</f>
        <v>Accepted</v>
      </c>
    </row>
    <row r="102" spans="1:13" x14ac:dyDescent="0.25">
      <c r="A102" s="1" t="s">
        <v>105</v>
      </c>
      <c r="B102" s="1" t="s">
        <v>26</v>
      </c>
      <c r="C102" s="1" t="s">
        <v>22</v>
      </c>
      <c r="D102">
        <v>4</v>
      </c>
      <c r="E102">
        <v>20</v>
      </c>
      <c r="F102">
        <v>5</v>
      </c>
      <c r="J102" s="1" t="s">
        <v>15</v>
      </c>
      <c r="K102">
        <v>1</v>
      </c>
      <c r="L102">
        <v>0</v>
      </c>
      <c r="M102" t="str">
        <f>IF(tblPenalties[[#This Row],[total_yards]]=0, "Declined", "Accepted")</f>
        <v>Accepted</v>
      </c>
    </row>
    <row r="103" spans="1:13" x14ac:dyDescent="0.25">
      <c r="A103" s="1" t="s">
        <v>106</v>
      </c>
      <c r="B103" s="1" t="s">
        <v>28</v>
      </c>
      <c r="C103" s="1" t="s">
        <v>22</v>
      </c>
      <c r="D103">
        <v>4</v>
      </c>
      <c r="E103">
        <v>20</v>
      </c>
      <c r="F103">
        <v>5</v>
      </c>
      <c r="J103" s="1" t="s">
        <v>15</v>
      </c>
      <c r="K103">
        <v>1</v>
      </c>
      <c r="L103">
        <v>0</v>
      </c>
      <c r="M103" t="str">
        <f>IF(tblPenalties[[#This Row],[total_yards]]=0, "Declined", "Accepted")</f>
        <v>Accepted</v>
      </c>
    </row>
    <row r="104" spans="1:13" x14ac:dyDescent="0.25">
      <c r="A104" s="1" t="s">
        <v>106</v>
      </c>
      <c r="B104" s="1" t="s">
        <v>28</v>
      </c>
      <c r="C104" s="1" t="s">
        <v>23</v>
      </c>
      <c r="D104">
        <v>1</v>
      </c>
      <c r="E104">
        <v>5</v>
      </c>
      <c r="F104">
        <v>5</v>
      </c>
      <c r="J104" s="1" t="s">
        <v>15</v>
      </c>
      <c r="K104">
        <v>1</v>
      </c>
      <c r="L104">
        <v>0</v>
      </c>
      <c r="M104" t="str">
        <f>IF(tblPenalties[[#This Row],[total_yards]]=0, "Declined", "Accepted")</f>
        <v>Accepted</v>
      </c>
    </row>
    <row r="105" spans="1:13" x14ac:dyDescent="0.25">
      <c r="A105" s="1" t="s">
        <v>107</v>
      </c>
      <c r="B105" s="1" t="s">
        <v>21</v>
      </c>
      <c r="C105" s="1" t="s">
        <v>31</v>
      </c>
      <c r="D105">
        <v>2</v>
      </c>
      <c r="E105">
        <v>10</v>
      </c>
      <c r="F105">
        <v>5</v>
      </c>
      <c r="J105" s="1" t="s">
        <v>15</v>
      </c>
      <c r="K105">
        <v>1</v>
      </c>
      <c r="L105">
        <v>0</v>
      </c>
      <c r="M105" t="str">
        <f>IF(tblPenalties[[#This Row],[total_yards]]=0, "Declined", "Accepted")</f>
        <v>Accepted</v>
      </c>
    </row>
    <row r="106" spans="1:13" x14ac:dyDescent="0.25">
      <c r="A106" s="1" t="s">
        <v>108</v>
      </c>
      <c r="B106" s="1" t="s">
        <v>28</v>
      </c>
      <c r="C106" s="1" t="s">
        <v>22</v>
      </c>
      <c r="D106">
        <v>1</v>
      </c>
      <c r="E106">
        <v>5</v>
      </c>
      <c r="F106">
        <v>5</v>
      </c>
      <c r="J106" s="1" t="s">
        <v>15</v>
      </c>
      <c r="K106">
        <v>1</v>
      </c>
      <c r="L106">
        <v>0</v>
      </c>
      <c r="M106" t="str">
        <f>IF(tblPenalties[[#This Row],[total_yards]]=0, "Declined", "Accepted")</f>
        <v>Accepted</v>
      </c>
    </row>
    <row r="107" spans="1:13" x14ac:dyDescent="0.25">
      <c r="A107" s="1" t="s">
        <v>109</v>
      </c>
      <c r="B107" s="1" t="s">
        <v>79</v>
      </c>
      <c r="C107" s="1" t="s">
        <v>22</v>
      </c>
      <c r="D107">
        <v>4</v>
      </c>
      <c r="E107">
        <v>20</v>
      </c>
      <c r="F107">
        <v>5</v>
      </c>
      <c r="J107" s="1" t="s">
        <v>15</v>
      </c>
      <c r="K107">
        <v>1</v>
      </c>
      <c r="L107">
        <v>0</v>
      </c>
      <c r="M107" t="str">
        <f>IF(tblPenalties[[#This Row],[total_yards]]=0, "Declined", "Accepted")</f>
        <v>Accepted</v>
      </c>
    </row>
    <row r="108" spans="1:13" x14ac:dyDescent="0.25">
      <c r="A108" s="1" t="s">
        <v>110</v>
      </c>
      <c r="B108" s="1" t="s">
        <v>17</v>
      </c>
      <c r="C108" s="1" t="s">
        <v>14</v>
      </c>
      <c r="D108">
        <v>16</v>
      </c>
      <c r="E108">
        <v>80</v>
      </c>
      <c r="F108">
        <v>5</v>
      </c>
      <c r="J108" s="1" t="s">
        <v>15</v>
      </c>
      <c r="K108">
        <v>1</v>
      </c>
      <c r="L108">
        <v>0</v>
      </c>
      <c r="M108" t="str">
        <f>IF(tblPenalties[[#This Row],[total_yards]]=0, "Declined", "Accepted")</f>
        <v>Accepted</v>
      </c>
    </row>
    <row r="109" spans="1:13" x14ac:dyDescent="0.25">
      <c r="A109" s="1" t="s">
        <v>110</v>
      </c>
      <c r="B109" s="1" t="s">
        <v>17</v>
      </c>
      <c r="C109" s="1" t="s">
        <v>22</v>
      </c>
      <c r="D109">
        <v>1</v>
      </c>
      <c r="E109">
        <v>5</v>
      </c>
      <c r="F109">
        <v>5</v>
      </c>
      <c r="J109" s="1" t="s">
        <v>15</v>
      </c>
      <c r="K109">
        <v>1</v>
      </c>
      <c r="L109">
        <v>0</v>
      </c>
      <c r="M109" t="str">
        <f>IF(tblPenalties[[#This Row],[total_yards]]=0, "Declined", "Accepted")</f>
        <v>Accepted</v>
      </c>
    </row>
    <row r="110" spans="1:13" x14ac:dyDescent="0.25">
      <c r="A110" s="1" t="s">
        <v>111</v>
      </c>
      <c r="B110" s="1" t="s">
        <v>52</v>
      </c>
      <c r="C110" s="1" t="s">
        <v>14</v>
      </c>
      <c r="D110">
        <v>6</v>
      </c>
      <c r="E110">
        <v>30</v>
      </c>
      <c r="F110">
        <v>5</v>
      </c>
      <c r="J110" s="1" t="s">
        <v>15</v>
      </c>
      <c r="K110">
        <v>1</v>
      </c>
      <c r="L110">
        <v>0</v>
      </c>
      <c r="M110" t="str">
        <f>IF(tblPenalties[[#This Row],[total_yards]]=0, "Declined", "Accepted")</f>
        <v>Accepted</v>
      </c>
    </row>
    <row r="111" spans="1:13" x14ac:dyDescent="0.25">
      <c r="A111" s="1" t="s">
        <v>12</v>
      </c>
      <c r="B111" s="1" t="s">
        <v>13</v>
      </c>
      <c r="C111" s="1" t="s">
        <v>112</v>
      </c>
      <c r="D111">
        <v>1</v>
      </c>
      <c r="E111">
        <v>5</v>
      </c>
      <c r="F111">
        <v>5</v>
      </c>
      <c r="J111" s="1" t="s">
        <v>113</v>
      </c>
      <c r="K111">
        <v>1</v>
      </c>
      <c r="L111">
        <v>0</v>
      </c>
      <c r="M111" t="str">
        <f>IF(tblPenalties[[#This Row],[total_yards]]=0, "Declined", "Accepted")</f>
        <v>Accepted</v>
      </c>
    </row>
    <row r="112" spans="1:13" x14ac:dyDescent="0.25">
      <c r="A112" s="1" t="s">
        <v>20</v>
      </c>
      <c r="B112" s="1" t="s">
        <v>21</v>
      </c>
      <c r="C112" s="1" t="s">
        <v>112</v>
      </c>
      <c r="D112">
        <v>3</v>
      </c>
      <c r="E112">
        <v>15</v>
      </c>
      <c r="F112">
        <v>5</v>
      </c>
      <c r="J112" s="1" t="s">
        <v>113</v>
      </c>
      <c r="K112">
        <v>1</v>
      </c>
      <c r="L112">
        <v>0</v>
      </c>
      <c r="M112" t="str">
        <f>IF(tblPenalties[[#This Row],[total_yards]]=0, "Declined", "Accepted")</f>
        <v>Accepted</v>
      </c>
    </row>
    <row r="113" spans="1:13" x14ac:dyDescent="0.25">
      <c r="A113" s="1" t="s">
        <v>29</v>
      </c>
      <c r="B113" s="1" t="s">
        <v>21</v>
      </c>
      <c r="C113" s="1" t="s">
        <v>114</v>
      </c>
      <c r="D113">
        <v>3</v>
      </c>
      <c r="E113">
        <v>15</v>
      </c>
      <c r="F113">
        <v>5</v>
      </c>
      <c r="J113" s="1" t="s">
        <v>115</v>
      </c>
      <c r="K113">
        <v>1</v>
      </c>
      <c r="L113">
        <v>0</v>
      </c>
      <c r="M113" t="str">
        <f>IF(tblPenalties[[#This Row],[total_yards]]=0, "Declined", "Accepted")</f>
        <v>Accepted</v>
      </c>
    </row>
    <row r="114" spans="1:13" x14ac:dyDescent="0.25">
      <c r="A114" s="1" t="s">
        <v>35</v>
      </c>
      <c r="B114" s="1" t="s">
        <v>28</v>
      </c>
      <c r="C114" s="1" t="s">
        <v>114</v>
      </c>
      <c r="D114">
        <v>3</v>
      </c>
      <c r="E114">
        <v>15</v>
      </c>
      <c r="F114">
        <v>5</v>
      </c>
      <c r="J114" s="1" t="s">
        <v>115</v>
      </c>
      <c r="K114">
        <v>1</v>
      </c>
      <c r="L114">
        <v>0</v>
      </c>
      <c r="M114" t="str">
        <f>IF(tblPenalties[[#This Row],[total_yards]]=0, "Declined", "Accepted")</f>
        <v>Accepted</v>
      </c>
    </row>
    <row r="115" spans="1:13" x14ac:dyDescent="0.25">
      <c r="A115" s="1" t="s">
        <v>116</v>
      </c>
      <c r="B115" s="1" t="s">
        <v>21</v>
      </c>
      <c r="C115" s="1" t="s">
        <v>117</v>
      </c>
      <c r="D115">
        <v>3</v>
      </c>
      <c r="E115">
        <v>15</v>
      </c>
      <c r="F115">
        <v>5</v>
      </c>
      <c r="J115" s="1" t="s">
        <v>118</v>
      </c>
      <c r="K115">
        <v>1</v>
      </c>
      <c r="L115">
        <v>0</v>
      </c>
      <c r="M115" t="str">
        <f>IF(tblPenalties[[#This Row],[total_yards]]=0, "Declined", "Accepted")</f>
        <v>Accepted</v>
      </c>
    </row>
    <row r="116" spans="1:13" x14ac:dyDescent="0.25">
      <c r="A116" s="1" t="s">
        <v>65</v>
      </c>
      <c r="B116" s="1" t="s">
        <v>34</v>
      </c>
      <c r="C116" s="1" t="s">
        <v>114</v>
      </c>
      <c r="D116">
        <v>1</v>
      </c>
      <c r="E116">
        <v>5</v>
      </c>
      <c r="F116">
        <v>5</v>
      </c>
      <c r="J116" s="1" t="s">
        <v>115</v>
      </c>
      <c r="K116">
        <v>1</v>
      </c>
      <c r="L116">
        <v>0</v>
      </c>
      <c r="M116" t="str">
        <f>IF(tblPenalties[[#This Row],[total_yards]]=0, "Declined", "Accepted")</f>
        <v>Accepted</v>
      </c>
    </row>
    <row r="117" spans="1:13" x14ac:dyDescent="0.25">
      <c r="A117" s="1" t="s">
        <v>119</v>
      </c>
      <c r="B117" s="1" t="s">
        <v>52</v>
      </c>
      <c r="C117" s="1" t="s">
        <v>112</v>
      </c>
      <c r="D117">
        <v>2</v>
      </c>
      <c r="E117">
        <v>10</v>
      </c>
      <c r="F117">
        <v>5</v>
      </c>
      <c r="J117" s="1" t="s">
        <v>113</v>
      </c>
      <c r="K117">
        <v>1</v>
      </c>
      <c r="L117">
        <v>0</v>
      </c>
      <c r="M117" t="str">
        <f>IF(tblPenalties[[#This Row],[total_yards]]=0, "Declined", "Accepted")</f>
        <v>Accepted</v>
      </c>
    </row>
    <row r="118" spans="1:13" x14ac:dyDescent="0.25">
      <c r="A118" s="1" t="s">
        <v>68</v>
      </c>
      <c r="B118" s="1" t="s">
        <v>19</v>
      </c>
      <c r="C118" s="1" t="s">
        <v>120</v>
      </c>
      <c r="D118">
        <v>1</v>
      </c>
      <c r="E118">
        <v>5</v>
      </c>
      <c r="F118">
        <v>5</v>
      </c>
      <c r="J118" s="1" t="s">
        <v>115</v>
      </c>
      <c r="K118">
        <v>1</v>
      </c>
      <c r="L118">
        <v>0</v>
      </c>
      <c r="M118" t="str">
        <f>IF(tblPenalties[[#This Row],[total_yards]]=0, "Declined", "Accepted")</f>
        <v>Accepted</v>
      </c>
    </row>
    <row r="119" spans="1:13" x14ac:dyDescent="0.25">
      <c r="A119" s="1" t="s">
        <v>121</v>
      </c>
      <c r="B119" s="1" t="s">
        <v>28</v>
      </c>
      <c r="C119" s="1" t="s">
        <v>112</v>
      </c>
      <c r="D119">
        <v>3</v>
      </c>
      <c r="E119">
        <v>15</v>
      </c>
      <c r="F119">
        <v>5</v>
      </c>
      <c r="J119" s="1" t="s">
        <v>113</v>
      </c>
      <c r="K119">
        <v>1</v>
      </c>
      <c r="L119">
        <v>0</v>
      </c>
      <c r="M119" t="str">
        <f>IF(tblPenalties[[#This Row],[total_yards]]=0, "Declined", "Accepted")</f>
        <v>Accepted</v>
      </c>
    </row>
    <row r="120" spans="1:13" x14ac:dyDescent="0.25">
      <c r="A120" s="1" t="s">
        <v>72</v>
      </c>
      <c r="B120" s="1" t="s">
        <v>34</v>
      </c>
      <c r="C120" s="1" t="s">
        <v>122</v>
      </c>
      <c r="D120">
        <v>1</v>
      </c>
      <c r="E120">
        <v>5</v>
      </c>
      <c r="F120">
        <v>5</v>
      </c>
      <c r="J120" s="1" t="s">
        <v>113</v>
      </c>
      <c r="K120">
        <v>1</v>
      </c>
      <c r="L120">
        <v>0</v>
      </c>
      <c r="M120" t="str">
        <f>IF(tblPenalties[[#This Row],[total_yards]]=0, "Declined", "Accepted")</f>
        <v>Accepted</v>
      </c>
    </row>
    <row r="121" spans="1:13" x14ac:dyDescent="0.25">
      <c r="A121" s="1" t="s">
        <v>123</v>
      </c>
      <c r="B121" s="1" t="s">
        <v>26</v>
      </c>
      <c r="C121" s="1" t="s">
        <v>112</v>
      </c>
      <c r="D121">
        <v>3</v>
      </c>
      <c r="E121">
        <v>15</v>
      </c>
      <c r="F121">
        <v>5</v>
      </c>
      <c r="J121" s="1" t="s">
        <v>113</v>
      </c>
      <c r="K121">
        <v>1</v>
      </c>
      <c r="L121">
        <v>0</v>
      </c>
      <c r="M121" t="str">
        <f>IF(tblPenalties[[#This Row],[total_yards]]=0, "Declined", "Accepted")</f>
        <v>Accepted</v>
      </c>
    </row>
    <row r="122" spans="1:13" x14ac:dyDescent="0.25">
      <c r="A122" s="1" t="s">
        <v>73</v>
      </c>
      <c r="B122" s="1" t="s">
        <v>26</v>
      </c>
      <c r="C122" s="1" t="s">
        <v>115</v>
      </c>
      <c r="D122">
        <v>4</v>
      </c>
      <c r="E122">
        <v>20</v>
      </c>
      <c r="F122">
        <v>5</v>
      </c>
      <c r="J122" s="1" t="s">
        <v>115</v>
      </c>
      <c r="K122">
        <v>1</v>
      </c>
      <c r="L122">
        <v>0</v>
      </c>
      <c r="M122" t="str">
        <f>IF(tblPenalties[[#This Row],[total_yards]]=0, "Declined", "Accepted")</f>
        <v>Accepted</v>
      </c>
    </row>
    <row r="123" spans="1:13" x14ac:dyDescent="0.25">
      <c r="A123" s="1" t="s">
        <v>76</v>
      </c>
      <c r="B123" s="1" t="s">
        <v>21</v>
      </c>
      <c r="C123" s="1" t="s">
        <v>120</v>
      </c>
      <c r="D123">
        <v>1</v>
      </c>
      <c r="E123">
        <v>5</v>
      </c>
      <c r="F123">
        <v>5</v>
      </c>
      <c r="J123" s="1" t="s">
        <v>115</v>
      </c>
      <c r="K123">
        <v>1</v>
      </c>
      <c r="L123">
        <v>0</v>
      </c>
      <c r="M123" t="str">
        <f>IF(tblPenalties[[#This Row],[total_yards]]=0, "Declined", "Accepted")</f>
        <v>Accepted</v>
      </c>
    </row>
    <row r="124" spans="1:13" x14ac:dyDescent="0.25">
      <c r="A124" s="1" t="s">
        <v>94</v>
      </c>
      <c r="B124" s="1" t="s">
        <v>13</v>
      </c>
      <c r="C124" s="1" t="s">
        <v>114</v>
      </c>
      <c r="D124">
        <v>3</v>
      </c>
      <c r="E124">
        <v>15</v>
      </c>
      <c r="F124">
        <v>5</v>
      </c>
      <c r="J124" s="1" t="s">
        <v>115</v>
      </c>
      <c r="K124">
        <v>1</v>
      </c>
      <c r="L124">
        <v>0</v>
      </c>
      <c r="M124" t="str">
        <f>IF(tblPenalties[[#This Row],[total_yards]]=0, "Declined", "Accepted")</f>
        <v>Accepted</v>
      </c>
    </row>
    <row r="125" spans="1:13" x14ac:dyDescent="0.25">
      <c r="A125" s="1" t="s">
        <v>103</v>
      </c>
      <c r="B125" s="1" t="s">
        <v>34</v>
      </c>
      <c r="C125" s="1" t="s">
        <v>115</v>
      </c>
      <c r="D125">
        <v>6</v>
      </c>
      <c r="E125">
        <v>30</v>
      </c>
      <c r="F125">
        <v>5</v>
      </c>
      <c r="J125" s="1" t="s">
        <v>115</v>
      </c>
      <c r="K125">
        <v>1</v>
      </c>
      <c r="L125">
        <v>0</v>
      </c>
      <c r="M125" t="str">
        <f>IF(tblPenalties[[#This Row],[total_yards]]=0, "Declined", "Accepted")</f>
        <v>Accepted</v>
      </c>
    </row>
    <row r="126" spans="1:13" x14ac:dyDescent="0.25">
      <c r="A126" s="1" t="s">
        <v>106</v>
      </c>
      <c r="B126" s="1" t="s">
        <v>28</v>
      </c>
      <c r="C126" s="1" t="s">
        <v>114</v>
      </c>
      <c r="D126">
        <v>1</v>
      </c>
      <c r="E126">
        <v>5</v>
      </c>
      <c r="F126">
        <v>5</v>
      </c>
      <c r="J126" s="1" t="s">
        <v>115</v>
      </c>
      <c r="K126">
        <v>1</v>
      </c>
      <c r="L126">
        <v>0</v>
      </c>
      <c r="M126" t="str">
        <f>IF(tblPenalties[[#This Row],[total_yards]]=0, "Declined", "Accepted")</f>
        <v>Accepted</v>
      </c>
    </row>
    <row r="127" spans="1:13" x14ac:dyDescent="0.25">
      <c r="A127" s="1" t="s">
        <v>124</v>
      </c>
      <c r="B127" s="1" t="s">
        <v>13</v>
      </c>
      <c r="C127" s="1" t="s">
        <v>125</v>
      </c>
      <c r="D127">
        <v>2</v>
      </c>
      <c r="E127">
        <v>0</v>
      </c>
      <c r="F127">
        <v>0</v>
      </c>
      <c r="J127" s="1" t="s">
        <v>115</v>
      </c>
      <c r="K127">
        <v>0</v>
      </c>
      <c r="L127">
        <v>1</v>
      </c>
      <c r="M127" t="str">
        <f>IF(tblPenalties[[#This Row],[total_yards]]=0, "Declined", "Accepted")</f>
        <v>Declined</v>
      </c>
    </row>
    <row r="128" spans="1:13" x14ac:dyDescent="0.25">
      <c r="A128" s="1" t="s">
        <v>126</v>
      </c>
      <c r="B128" s="1" t="s">
        <v>19</v>
      </c>
      <c r="C128" s="1" t="s">
        <v>115</v>
      </c>
      <c r="D128">
        <v>2</v>
      </c>
      <c r="E128">
        <v>0</v>
      </c>
      <c r="F128">
        <v>0</v>
      </c>
      <c r="J128" s="1" t="s">
        <v>115</v>
      </c>
      <c r="K128">
        <v>0</v>
      </c>
      <c r="L128">
        <v>1</v>
      </c>
      <c r="M128" t="str">
        <f>IF(tblPenalties[[#This Row],[total_yards]]=0, "Declined", "Accepted")</f>
        <v>Declined</v>
      </c>
    </row>
    <row r="129" spans="1:13" x14ac:dyDescent="0.25">
      <c r="A129" s="1" t="s">
        <v>27</v>
      </c>
      <c r="B129" s="1" t="s">
        <v>28</v>
      </c>
      <c r="C129" s="1" t="s">
        <v>117</v>
      </c>
      <c r="D129">
        <v>5</v>
      </c>
      <c r="E129">
        <v>0</v>
      </c>
      <c r="F129">
        <v>0</v>
      </c>
      <c r="J129" s="1" t="s">
        <v>118</v>
      </c>
      <c r="K129">
        <v>0</v>
      </c>
      <c r="L129">
        <v>1</v>
      </c>
      <c r="M129" t="str">
        <f>IF(tblPenalties[[#This Row],[total_yards]]=0, "Declined", "Accepted")</f>
        <v>Declined</v>
      </c>
    </row>
    <row r="130" spans="1:13" x14ac:dyDescent="0.25">
      <c r="A130" s="1" t="s">
        <v>29</v>
      </c>
      <c r="B130" s="1" t="s">
        <v>21</v>
      </c>
      <c r="C130" s="1" t="s">
        <v>115</v>
      </c>
      <c r="D130">
        <v>2</v>
      </c>
      <c r="E130">
        <v>0</v>
      </c>
      <c r="F130">
        <v>0</v>
      </c>
      <c r="J130" s="1" t="s">
        <v>115</v>
      </c>
      <c r="K130">
        <v>0</v>
      </c>
      <c r="L130">
        <v>1</v>
      </c>
      <c r="M130" t="str">
        <f>IF(tblPenalties[[#This Row],[total_yards]]=0, "Declined", "Accepted")</f>
        <v>Declined</v>
      </c>
    </row>
    <row r="131" spans="1:13" x14ac:dyDescent="0.25">
      <c r="A131" s="1" t="s">
        <v>30</v>
      </c>
      <c r="B131" s="1" t="s">
        <v>21</v>
      </c>
      <c r="C131" s="1" t="s">
        <v>23</v>
      </c>
      <c r="D131">
        <v>2</v>
      </c>
      <c r="E131">
        <v>0</v>
      </c>
      <c r="F131">
        <v>0</v>
      </c>
      <c r="J131" s="1" t="s">
        <v>15</v>
      </c>
      <c r="K131">
        <v>0</v>
      </c>
      <c r="L131">
        <v>1</v>
      </c>
      <c r="M131" t="str">
        <f>IF(tblPenalties[[#This Row],[total_yards]]=0, "Declined", "Accepted")</f>
        <v>Declined</v>
      </c>
    </row>
    <row r="132" spans="1:13" x14ac:dyDescent="0.25">
      <c r="A132" s="1" t="s">
        <v>127</v>
      </c>
      <c r="B132" s="1" t="s">
        <v>34</v>
      </c>
      <c r="C132" s="1" t="s">
        <v>115</v>
      </c>
      <c r="D132">
        <v>2</v>
      </c>
      <c r="E132">
        <v>0</v>
      </c>
      <c r="F132">
        <v>0</v>
      </c>
      <c r="J132" s="1" t="s">
        <v>115</v>
      </c>
      <c r="K132">
        <v>0</v>
      </c>
      <c r="L132">
        <v>1</v>
      </c>
      <c r="M132" t="str">
        <f>IF(tblPenalties[[#This Row],[total_yards]]=0, "Declined", "Accepted")</f>
        <v>Declined</v>
      </c>
    </row>
    <row r="133" spans="1:13" x14ac:dyDescent="0.25">
      <c r="A133" s="1" t="s">
        <v>50</v>
      </c>
      <c r="B133" s="1" t="s">
        <v>17</v>
      </c>
      <c r="C133" s="1" t="s">
        <v>128</v>
      </c>
      <c r="D133">
        <v>2</v>
      </c>
      <c r="E133">
        <v>0</v>
      </c>
      <c r="F133">
        <v>0</v>
      </c>
      <c r="J133" s="1" t="s">
        <v>115</v>
      </c>
      <c r="K133">
        <v>0</v>
      </c>
      <c r="L133">
        <v>1</v>
      </c>
      <c r="M133" t="str">
        <f>IF(tblPenalties[[#This Row],[total_yards]]=0, "Declined", "Accepted")</f>
        <v>Declined</v>
      </c>
    </row>
    <row r="134" spans="1:13" x14ac:dyDescent="0.25">
      <c r="A134" s="1" t="s">
        <v>55</v>
      </c>
      <c r="B134" s="1" t="s">
        <v>40</v>
      </c>
      <c r="C134" s="1" t="s">
        <v>114</v>
      </c>
      <c r="D134">
        <v>2</v>
      </c>
      <c r="E134">
        <v>0</v>
      </c>
      <c r="F134">
        <v>0</v>
      </c>
      <c r="J134" s="1" t="s">
        <v>115</v>
      </c>
      <c r="K134">
        <v>0</v>
      </c>
      <c r="L134">
        <v>1</v>
      </c>
      <c r="M134" t="str">
        <f>IF(tblPenalties[[#This Row],[total_yards]]=0, "Declined", "Accepted")</f>
        <v>Declined</v>
      </c>
    </row>
    <row r="135" spans="1:13" x14ac:dyDescent="0.25">
      <c r="A135" s="1" t="s">
        <v>64</v>
      </c>
      <c r="B135" s="1" t="s">
        <v>52</v>
      </c>
      <c r="C135" s="1" t="s">
        <v>115</v>
      </c>
      <c r="D135">
        <v>3</v>
      </c>
      <c r="E135">
        <v>0</v>
      </c>
      <c r="F135">
        <v>0</v>
      </c>
      <c r="J135" s="1" t="s">
        <v>115</v>
      </c>
      <c r="K135">
        <v>0</v>
      </c>
      <c r="L135">
        <v>1</v>
      </c>
      <c r="M135" t="str">
        <f>IF(tblPenalties[[#This Row],[total_yards]]=0, "Declined", "Accepted")</f>
        <v>Declined</v>
      </c>
    </row>
    <row r="136" spans="1:13" x14ac:dyDescent="0.25">
      <c r="A136" s="1" t="s">
        <v>75</v>
      </c>
      <c r="B136" s="1" t="s">
        <v>13</v>
      </c>
      <c r="C136" s="1" t="s">
        <v>114</v>
      </c>
      <c r="D136">
        <v>2</v>
      </c>
      <c r="E136">
        <v>0</v>
      </c>
      <c r="F136">
        <v>0</v>
      </c>
      <c r="J136" s="1" t="s">
        <v>115</v>
      </c>
      <c r="K136">
        <v>0</v>
      </c>
      <c r="L136">
        <v>1</v>
      </c>
      <c r="M136" t="str">
        <f>IF(tblPenalties[[#This Row],[total_yards]]=0, "Declined", "Accepted")</f>
        <v>Declined</v>
      </c>
    </row>
    <row r="137" spans="1:13" x14ac:dyDescent="0.25">
      <c r="A137" s="1" t="s">
        <v>77</v>
      </c>
      <c r="B137" s="1" t="s">
        <v>17</v>
      </c>
      <c r="C137" s="1" t="s">
        <v>129</v>
      </c>
      <c r="D137">
        <v>9</v>
      </c>
      <c r="E137">
        <v>0</v>
      </c>
      <c r="F137">
        <v>0</v>
      </c>
      <c r="J137" s="1" t="s">
        <v>130</v>
      </c>
      <c r="K137">
        <v>0</v>
      </c>
      <c r="L137">
        <v>1</v>
      </c>
      <c r="M137" t="str">
        <f>IF(tblPenalties[[#This Row],[total_yards]]=0, "Declined", "Accepted")</f>
        <v>Declined</v>
      </c>
    </row>
    <row r="138" spans="1:13" x14ac:dyDescent="0.25">
      <c r="A138" s="1" t="s">
        <v>83</v>
      </c>
      <c r="B138" s="1" t="s">
        <v>52</v>
      </c>
      <c r="C138" s="1" t="s">
        <v>115</v>
      </c>
      <c r="D138">
        <v>2</v>
      </c>
      <c r="E138">
        <v>0</v>
      </c>
      <c r="F138">
        <v>0</v>
      </c>
      <c r="J138" s="1" t="s">
        <v>115</v>
      </c>
      <c r="K138">
        <v>0</v>
      </c>
      <c r="L138">
        <v>1</v>
      </c>
      <c r="M138" t="str">
        <f>IF(tblPenalties[[#This Row],[total_yards]]=0, "Declined", "Accepted")</f>
        <v>Declined</v>
      </c>
    </row>
    <row r="139" spans="1:13" x14ac:dyDescent="0.25">
      <c r="A139" s="1" t="s">
        <v>86</v>
      </c>
      <c r="B139" s="1" t="s">
        <v>40</v>
      </c>
      <c r="C139" s="1" t="s">
        <v>115</v>
      </c>
      <c r="D139">
        <v>4</v>
      </c>
      <c r="E139">
        <v>0</v>
      </c>
      <c r="F139">
        <v>0</v>
      </c>
      <c r="J139" s="1" t="s">
        <v>115</v>
      </c>
      <c r="K139">
        <v>0</v>
      </c>
      <c r="L139">
        <v>1</v>
      </c>
      <c r="M139" t="str">
        <f>IF(tblPenalties[[#This Row],[total_yards]]=0, "Declined", "Accepted")</f>
        <v>Declined</v>
      </c>
    </row>
    <row r="140" spans="1:13" x14ac:dyDescent="0.25">
      <c r="A140" s="1" t="s">
        <v>91</v>
      </c>
      <c r="B140" s="1" t="s">
        <v>17</v>
      </c>
      <c r="C140" s="1" t="s">
        <v>115</v>
      </c>
      <c r="D140">
        <v>3</v>
      </c>
      <c r="E140">
        <v>0</v>
      </c>
      <c r="F140">
        <v>0</v>
      </c>
      <c r="J140" s="1" t="s">
        <v>115</v>
      </c>
      <c r="K140">
        <v>0</v>
      </c>
      <c r="L140">
        <v>1</v>
      </c>
      <c r="M140" t="str">
        <f>IF(tblPenalties[[#This Row],[total_yards]]=0, "Declined", "Accepted")</f>
        <v>Declined</v>
      </c>
    </row>
    <row r="141" spans="1:13" x14ac:dyDescent="0.25">
      <c r="A141" s="1" t="s">
        <v>131</v>
      </c>
      <c r="B141" s="1" t="s">
        <v>13</v>
      </c>
      <c r="C141" s="1" t="s">
        <v>31</v>
      </c>
      <c r="D141">
        <v>2</v>
      </c>
      <c r="E141">
        <v>0</v>
      </c>
      <c r="F141">
        <v>0</v>
      </c>
      <c r="J141" s="1" t="s">
        <v>15</v>
      </c>
      <c r="K141">
        <v>0</v>
      </c>
      <c r="L141">
        <v>1</v>
      </c>
      <c r="M141" t="str">
        <f>IF(tblPenalties[[#This Row],[total_yards]]=0, "Declined", "Accepted")</f>
        <v>Declined</v>
      </c>
    </row>
    <row r="142" spans="1:13" x14ac:dyDescent="0.25">
      <c r="A142" s="1" t="s">
        <v>93</v>
      </c>
      <c r="B142" s="1" t="s">
        <v>21</v>
      </c>
      <c r="C142" s="1" t="s">
        <v>114</v>
      </c>
      <c r="D142">
        <v>3</v>
      </c>
      <c r="E142">
        <v>0</v>
      </c>
      <c r="F142">
        <v>0</v>
      </c>
      <c r="J142" s="1" t="s">
        <v>115</v>
      </c>
      <c r="K142">
        <v>0</v>
      </c>
      <c r="L142">
        <v>1</v>
      </c>
      <c r="M142" t="str">
        <f>IF(tblPenalties[[#This Row],[total_yards]]=0, "Declined", "Accepted")</f>
        <v>Declined</v>
      </c>
    </row>
    <row r="143" spans="1:13" x14ac:dyDescent="0.25">
      <c r="A143" s="1" t="s">
        <v>95</v>
      </c>
      <c r="B143" s="1" t="s">
        <v>34</v>
      </c>
      <c r="C143" s="1" t="s">
        <v>114</v>
      </c>
      <c r="D143">
        <v>2</v>
      </c>
      <c r="E143">
        <v>0</v>
      </c>
      <c r="F143">
        <v>0</v>
      </c>
      <c r="J143" s="1" t="s">
        <v>115</v>
      </c>
      <c r="K143">
        <v>0</v>
      </c>
      <c r="L143">
        <v>1</v>
      </c>
      <c r="M143" t="str">
        <f>IF(tblPenalties[[#This Row],[total_yards]]=0, "Declined", "Accepted")</f>
        <v>Declined</v>
      </c>
    </row>
    <row r="144" spans="1:13" x14ac:dyDescent="0.25">
      <c r="A144" s="1" t="s">
        <v>105</v>
      </c>
      <c r="B144" s="1" t="s">
        <v>26</v>
      </c>
      <c r="C144" s="1" t="s">
        <v>115</v>
      </c>
      <c r="D144">
        <v>2</v>
      </c>
      <c r="E144">
        <v>0</v>
      </c>
      <c r="F144">
        <v>0</v>
      </c>
      <c r="J144" s="1" t="s">
        <v>115</v>
      </c>
      <c r="K144">
        <v>0</v>
      </c>
      <c r="L144">
        <v>1</v>
      </c>
      <c r="M144" t="str">
        <f>IF(tblPenalties[[#This Row],[total_yards]]=0, "Declined", "Accepted")</f>
        <v>Declined</v>
      </c>
    </row>
    <row r="145" spans="1:13" x14ac:dyDescent="0.25">
      <c r="A145" s="1" t="s">
        <v>106</v>
      </c>
      <c r="B145" s="1" t="s">
        <v>28</v>
      </c>
      <c r="C145" s="1" t="s">
        <v>115</v>
      </c>
      <c r="D145">
        <v>5</v>
      </c>
      <c r="E145">
        <v>0</v>
      </c>
      <c r="F145">
        <v>0</v>
      </c>
      <c r="J145" s="1" t="s">
        <v>115</v>
      </c>
      <c r="K145">
        <v>0</v>
      </c>
      <c r="L145">
        <v>1</v>
      </c>
      <c r="M145" t="str">
        <f>IF(tblPenalties[[#This Row],[total_yards]]=0, "Declined", "Accepted")</f>
        <v>Declined</v>
      </c>
    </row>
    <row r="146" spans="1:13" x14ac:dyDescent="0.25">
      <c r="A146" s="1" t="s">
        <v>132</v>
      </c>
      <c r="B146" s="1" t="s">
        <v>40</v>
      </c>
      <c r="C146" s="1" t="s">
        <v>128</v>
      </c>
      <c r="D146">
        <v>2</v>
      </c>
      <c r="E146">
        <v>0</v>
      </c>
      <c r="F146">
        <v>0</v>
      </c>
      <c r="J146" s="1" t="s">
        <v>115</v>
      </c>
      <c r="K146">
        <v>0</v>
      </c>
      <c r="L146">
        <v>1</v>
      </c>
      <c r="M146" t="str">
        <f>IF(tblPenalties[[#This Row],[total_yards]]=0, "Declined", "Accepted")</f>
        <v>Declined</v>
      </c>
    </row>
    <row r="147" spans="1:13" x14ac:dyDescent="0.25">
      <c r="A147" s="1" t="s">
        <v>132</v>
      </c>
      <c r="B147" s="1" t="s">
        <v>40</v>
      </c>
      <c r="C147" s="1" t="s">
        <v>114</v>
      </c>
      <c r="D147">
        <v>2</v>
      </c>
      <c r="E147">
        <v>0</v>
      </c>
      <c r="F147">
        <v>0</v>
      </c>
      <c r="J147" s="1" t="s">
        <v>115</v>
      </c>
      <c r="K147">
        <v>0</v>
      </c>
      <c r="L147">
        <v>1</v>
      </c>
      <c r="M147" t="str">
        <f>IF(tblPenalties[[#This Row],[total_yards]]=0, "Declined", "Accepted")</f>
        <v>Declined</v>
      </c>
    </row>
    <row r="148" spans="1:13" x14ac:dyDescent="0.25">
      <c r="A148" s="1" t="s">
        <v>133</v>
      </c>
      <c r="B148" s="1" t="s">
        <v>52</v>
      </c>
      <c r="C148" s="1" t="s">
        <v>31</v>
      </c>
      <c r="D148">
        <v>3</v>
      </c>
      <c r="E148">
        <v>0</v>
      </c>
      <c r="F148">
        <v>0</v>
      </c>
      <c r="J148" s="1" t="s">
        <v>15</v>
      </c>
      <c r="K148">
        <v>0</v>
      </c>
      <c r="L148">
        <v>1</v>
      </c>
      <c r="M148" t="str">
        <f>IF(tblPenalties[[#This Row],[total_yards]]=0, "Declined", "Accepted")</f>
        <v>Declined</v>
      </c>
    </row>
    <row r="149" spans="1:13" x14ac:dyDescent="0.25">
      <c r="A149" s="1" t="s">
        <v>110</v>
      </c>
      <c r="B149" s="1" t="s">
        <v>17</v>
      </c>
      <c r="C149" s="1" t="s">
        <v>115</v>
      </c>
      <c r="D149">
        <v>3</v>
      </c>
      <c r="E149">
        <v>0</v>
      </c>
      <c r="F149">
        <v>0</v>
      </c>
      <c r="J149" s="1" t="s">
        <v>115</v>
      </c>
      <c r="K149">
        <v>0</v>
      </c>
      <c r="L149">
        <v>1</v>
      </c>
      <c r="M149" t="str">
        <f>IF(tblPenalties[[#This Row],[total_yards]]=0, "Declined", "Accepted")</f>
        <v>Declined</v>
      </c>
    </row>
    <row r="150" spans="1:13" x14ac:dyDescent="0.25">
      <c r="A150" s="1" t="s">
        <v>134</v>
      </c>
      <c r="B150" s="1" t="s">
        <v>26</v>
      </c>
      <c r="C150" s="1" t="s">
        <v>114</v>
      </c>
      <c r="D150">
        <v>1</v>
      </c>
      <c r="E150">
        <v>0</v>
      </c>
      <c r="F150">
        <v>0</v>
      </c>
      <c r="J150" s="1" t="s">
        <v>115</v>
      </c>
      <c r="K150">
        <v>0</v>
      </c>
      <c r="L150">
        <v>1</v>
      </c>
      <c r="M150" t="str">
        <f>IF(tblPenalties[[#This Row],[total_yards]]=0, "Declined", "Accepted")</f>
        <v>Declined</v>
      </c>
    </row>
    <row r="151" spans="1:13" x14ac:dyDescent="0.25">
      <c r="A151" s="1" t="s">
        <v>16</v>
      </c>
      <c r="B151" s="1" t="s">
        <v>17</v>
      </c>
      <c r="C151" s="1" t="s">
        <v>115</v>
      </c>
      <c r="D151">
        <v>1</v>
      </c>
      <c r="E151">
        <v>0</v>
      </c>
      <c r="F151">
        <v>0</v>
      </c>
      <c r="J151" s="1" t="s">
        <v>115</v>
      </c>
      <c r="K151">
        <v>0</v>
      </c>
      <c r="L151">
        <v>1</v>
      </c>
      <c r="M151" t="str">
        <f>IF(tblPenalties[[#This Row],[total_yards]]=0, "Declined", "Accepted")</f>
        <v>Declined</v>
      </c>
    </row>
    <row r="152" spans="1:13" x14ac:dyDescent="0.25">
      <c r="A152" s="1" t="s">
        <v>135</v>
      </c>
      <c r="B152" s="1" t="s">
        <v>17</v>
      </c>
      <c r="C152" s="1" t="s">
        <v>125</v>
      </c>
      <c r="D152">
        <v>1</v>
      </c>
      <c r="E152">
        <v>0</v>
      </c>
      <c r="F152">
        <v>0</v>
      </c>
      <c r="J152" s="1" t="s">
        <v>115</v>
      </c>
      <c r="K152">
        <v>0</v>
      </c>
      <c r="L152">
        <v>1</v>
      </c>
      <c r="M152" t="str">
        <f>IF(tblPenalties[[#This Row],[total_yards]]=0, "Declined", "Accepted")</f>
        <v>Declined</v>
      </c>
    </row>
    <row r="153" spans="1:13" x14ac:dyDescent="0.25">
      <c r="A153" s="1" t="s">
        <v>24</v>
      </c>
      <c r="B153" s="1" t="s">
        <v>17</v>
      </c>
      <c r="C153" s="1" t="s">
        <v>128</v>
      </c>
      <c r="D153">
        <v>1</v>
      </c>
      <c r="E153">
        <v>0</v>
      </c>
      <c r="F153">
        <v>0</v>
      </c>
      <c r="J153" s="1" t="s">
        <v>115</v>
      </c>
      <c r="K153">
        <v>0</v>
      </c>
      <c r="L153">
        <v>1</v>
      </c>
      <c r="M153" t="str">
        <f>IF(tblPenalties[[#This Row],[total_yards]]=0, "Declined", "Accepted")</f>
        <v>Declined</v>
      </c>
    </row>
    <row r="154" spans="1:13" x14ac:dyDescent="0.25">
      <c r="A154" s="1" t="s">
        <v>24</v>
      </c>
      <c r="B154" s="1" t="s">
        <v>17</v>
      </c>
      <c r="C154" s="1" t="s">
        <v>114</v>
      </c>
      <c r="D154">
        <v>1</v>
      </c>
      <c r="E154">
        <v>0</v>
      </c>
      <c r="F154">
        <v>0</v>
      </c>
      <c r="J154" s="1" t="s">
        <v>115</v>
      </c>
      <c r="K154">
        <v>0</v>
      </c>
      <c r="L154">
        <v>1</v>
      </c>
      <c r="M154" t="str">
        <f>IF(tblPenalties[[#This Row],[total_yards]]=0, "Declined", "Accepted")</f>
        <v>Declined</v>
      </c>
    </row>
    <row r="155" spans="1:13" x14ac:dyDescent="0.25">
      <c r="A155" s="1" t="s">
        <v>27</v>
      </c>
      <c r="B155" s="1" t="s">
        <v>28</v>
      </c>
      <c r="C155" s="1" t="s">
        <v>125</v>
      </c>
      <c r="D155">
        <v>1</v>
      </c>
      <c r="E155">
        <v>0</v>
      </c>
      <c r="F155">
        <v>0</v>
      </c>
      <c r="J155" s="1" t="s">
        <v>115</v>
      </c>
      <c r="K155">
        <v>0</v>
      </c>
      <c r="L155">
        <v>1</v>
      </c>
      <c r="M155" t="str">
        <f>IF(tblPenalties[[#This Row],[total_yards]]=0, "Declined", "Accepted")</f>
        <v>Declined</v>
      </c>
    </row>
    <row r="156" spans="1:13" x14ac:dyDescent="0.25">
      <c r="A156" s="1" t="s">
        <v>30</v>
      </c>
      <c r="B156" s="1" t="s">
        <v>21</v>
      </c>
      <c r="C156" s="1" t="s">
        <v>114</v>
      </c>
      <c r="D156">
        <v>1</v>
      </c>
      <c r="E156">
        <v>0</v>
      </c>
      <c r="F156">
        <v>0</v>
      </c>
      <c r="J156" s="1" t="s">
        <v>115</v>
      </c>
      <c r="K156">
        <v>0</v>
      </c>
      <c r="L156">
        <v>1</v>
      </c>
      <c r="M156" t="str">
        <f>IF(tblPenalties[[#This Row],[total_yards]]=0, "Declined", "Accepted")</f>
        <v>Declined</v>
      </c>
    </row>
    <row r="157" spans="1:13" x14ac:dyDescent="0.25">
      <c r="A157" s="1" t="s">
        <v>136</v>
      </c>
      <c r="B157" s="1" t="s">
        <v>21</v>
      </c>
      <c r="C157" s="1" t="s">
        <v>125</v>
      </c>
      <c r="D157">
        <v>1</v>
      </c>
      <c r="E157">
        <v>0</v>
      </c>
      <c r="F157">
        <v>0</v>
      </c>
      <c r="J157" s="1" t="s">
        <v>115</v>
      </c>
      <c r="K157">
        <v>0</v>
      </c>
      <c r="L157">
        <v>1</v>
      </c>
      <c r="M157" t="str">
        <f>IF(tblPenalties[[#This Row],[total_yards]]=0, "Declined", "Accepted")</f>
        <v>Declined</v>
      </c>
    </row>
    <row r="158" spans="1:13" x14ac:dyDescent="0.25">
      <c r="A158" s="1" t="s">
        <v>32</v>
      </c>
      <c r="B158" s="1" t="s">
        <v>28</v>
      </c>
      <c r="C158" s="1" t="s">
        <v>114</v>
      </c>
      <c r="D158">
        <v>1</v>
      </c>
      <c r="E158">
        <v>0</v>
      </c>
      <c r="F158">
        <v>0</v>
      </c>
      <c r="J158" s="1" t="s">
        <v>115</v>
      </c>
      <c r="K158">
        <v>0</v>
      </c>
      <c r="L158">
        <v>1</v>
      </c>
      <c r="M158" t="str">
        <f>IF(tblPenalties[[#This Row],[total_yards]]=0, "Declined", "Accepted")</f>
        <v>Declined</v>
      </c>
    </row>
    <row r="159" spans="1:13" x14ac:dyDescent="0.25">
      <c r="A159" s="1" t="s">
        <v>33</v>
      </c>
      <c r="B159" s="1" t="s">
        <v>34</v>
      </c>
      <c r="C159" s="1" t="s">
        <v>125</v>
      </c>
      <c r="D159">
        <v>1</v>
      </c>
      <c r="E159">
        <v>0</v>
      </c>
      <c r="F159">
        <v>0</v>
      </c>
      <c r="J159" s="1" t="s">
        <v>115</v>
      </c>
      <c r="K159">
        <v>0</v>
      </c>
      <c r="L159">
        <v>1</v>
      </c>
      <c r="M159" t="str">
        <f>IF(tblPenalties[[#This Row],[total_yards]]=0, "Declined", "Accepted")</f>
        <v>Declined</v>
      </c>
    </row>
    <row r="160" spans="1:13" x14ac:dyDescent="0.25">
      <c r="A160" s="1" t="s">
        <v>33</v>
      </c>
      <c r="B160" s="1" t="s">
        <v>34</v>
      </c>
      <c r="C160" s="1" t="s">
        <v>128</v>
      </c>
      <c r="D160">
        <v>1</v>
      </c>
      <c r="E160">
        <v>0</v>
      </c>
      <c r="F160">
        <v>0</v>
      </c>
      <c r="J160" s="1" t="s">
        <v>115</v>
      </c>
      <c r="K160">
        <v>0</v>
      </c>
      <c r="L160">
        <v>1</v>
      </c>
      <c r="M160" t="str">
        <f>IF(tblPenalties[[#This Row],[total_yards]]=0, "Declined", "Accepted")</f>
        <v>Declined</v>
      </c>
    </row>
    <row r="161" spans="1:13" x14ac:dyDescent="0.25">
      <c r="A161" s="1" t="s">
        <v>35</v>
      </c>
      <c r="B161" s="1" t="s">
        <v>28</v>
      </c>
      <c r="C161" s="1" t="s">
        <v>115</v>
      </c>
      <c r="D161">
        <v>1</v>
      </c>
      <c r="E161">
        <v>0</v>
      </c>
      <c r="F161">
        <v>0</v>
      </c>
      <c r="J161" s="1" t="s">
        <v>115</v>
      </c>
      <c r="K161">
        <v>0</v>
      </c>
      <c r="L161">
        <v>1</v>
      </c>
      <c r="M161" t="str">
        <f>IF(tblPenalties[[#This Row],[total_yards]]=0, "Declined", "Accepted")</f>
        <v>Declined</v>
      </c>
    </row>
    <row r="162" spans="1:13" x14ac:dyDescent="0.25">
      <c r="A162" s="1" t="s">
        <v>36</v>
      </c>
      <c r="B162" s="1" t="s">
        <v>13</v>
      </c>
      <c r="C162" s="1" t="s">
        <v>49</v>
      </c>
      <c r="D162">
        <v>1</v>
      </c>
      <c r="E162">
        <v>0</v>
      </c>
      <c r="F162">
        <v>0</v>
      </c>
      <c r="J162" s="1" t="s">
        <v>15</v>
      </c>
      <c r="K162">
        <v>0</v>
      </c>
      <c r="L162">
        <v>1</v>
      </c>
      <c r="M162" t="str">
        <f>IF(tblPenalties[[#This Row],[total_yards]]=0, "Declined", "Accepted")</f>
        <v>Declined</v>
      </c>
    </row>
    <row r="163" spans="1:13" x14ac:dyDescent="0.25">
      <c r="A163" s="1" t="s">
        <v>36</v>
      </c>
      <c r="B163" s="1" t="s">
        <v>13</v>
      </c>
      <c r="C163" s="1" t="s">
        <v>114</v>
      </c>
      <c r="D163">
        <v>1</v>
      </c>
      <c r="E163">
        <v>0</v>
      </c>
      <c r="F163">
        <v>0</v>
      </c>
      <c r="J163" s="1" t="s">
        <v>115</v>
      </c>
      <c r="K163">
        <v>0</v>
      </c>
      <c r="L163">
        <v>1</v>
      </c>
      <c r="M163" t="str">
        <f>IF(tblPenalties[[#This Row],[total_yards]]=0, "Declined", "Accepted")</f>
        <v>Declined</v>
      </c>
    </row>
    <row r="164" spans="1:13" x14ac:dyDescent="0.25">
      <c r="A164" s="1" t="s">
        <v>137</v>
      </c>
      <c r="B164" s="1" t="s">
        <v>28</v>
      </c>
      <c r="C164" s="1" t="s">
        <v>128</v>
      </c>
      <c r="D164">
        <v>1</v>
      </c>
      <c r="E164">
        <v>0</v>
      </c>
      <c r="F164">
        <v>0</v>
      </c>
      <c r="J164" s="1" t="s">
        <v>115</v>
      </c>
      <c r="K164">
        <v>0</v>
      </c>
      <c r="L164">
        <v>1</v>
      </c>
      <c r="M164" t="str">
        <f>IF(tblPenalties[[#This Row],[total_yards]]=0, "Declined", "Accepted")</f>
        <v>Declined</v>
      </c>
    </row>
    <row r="165" spans="1:13" x14ac:dyDescent="0.25">
      <c r="A165" s="1" t="s">
        <v>41</v>
      </c>
      <c r="B165" s="1" t="s">
        <v>21</v>
      </c>
      <c r="C165" s="1" t="s">
        <v>23</v>
      </c>
      <c r="D165">
        <v>1</v>
      </c>
      <c r="E165">
        <v>0</v>
      </c>
      <c r="F165">
        <v>0</v>
      </c>
      <c r="J165" s="1" t="s">
        <v>15</v>
      </c>
      <c r="K165">
        <v>0</v>
      </c>
      <c r="L165">
        <v>1</v>
      </c>
      <c r="M165" t="str">
        <f>IF(tblPenalties[[#This Row],[total_yards]]=0, "Declined", "Accepted")</f>
        <v>Declined</v>
      </c>
    </row>
    <row r="166" spans="1:13" x14ac:dyDescent="0.25">
      <c r="A166" s="1" t="s">
        <v>42</v>
      </c>
      <c r="B166" s="1" t="s">
        <v>34</v>
      </c>
      <c r="C166" s="1" t="s">
        <v>23</v>
      </c>
      <c r="D166">
        <v>1</v>
      </c>
      <c r="E166">
        <v>0</v>
      </c>
      <c r="F166">
        <v>0</v>
      </c>
      <c r="J166" s="1" t="s">
        <v>15</v>
      </c>
      <c r="K166">
        <v>0</v>
      </c>
      <c r="L166">
        <v>1</v>
      </c>
      <c r="M166" t="str">
        <f>IF(tblPenalties[[#This Row],[total_yards]]=0, "Declined", "Accepted")</f>
        <v>Declined</v>
      </c>
    </row>
    <row r="167" spans="1:13" x14ac:dyDescent="0.25">
      <c r="A167" s="1" t="s">
        <v>42</v>
      </c>
      <c r="B167" s="1" t="s">
        <v>34</v>
      </c>
      <c r="C167" s="1" t="s">
        <v>128</v>
      </c>
      <c r="D167">
        <v>1</v>
      </c>
      <c r="E167">
        <v>0</v>
      </c>
      <c r="F167">
        <v>0</v>
      </c>
      <c r="J167" s="1" t="s">
        <v>115</v>
      </c>
      <c r="K167">
        <v>0</v>
      </c>
      <c r="L167">
        <v>1</v>
      </c>
      <c r="M167" t="str">
        <f>IF(tblPenalties[[#This Row],[total_yards]]=0, "Declined", "Accepted")</f>
        <v>Declined</v>
      </c>
    </row>
    <row r="168" spans="1:13" x14ac:dyDescent="0.25">
      <c r="A168" s="1" t="s">
        <v>45</v>
      </c>
      <c r="B168" s="1" t="s">
        <v>28</v>
      </c>
      <c r="C168" s="1" t="s">
        <v>120</v>
      </c>
      <c r="D168">
        <v>1</v>
      </c>
      <c r="E168">
        <v>0</v>
      </c>
      <c r="F168">
        <v>0</v>
      </c>
      <c r="J168" s="1" t="s">
        <v>115</v>
      </c>
      <c r="K168">
        <v>0</v>
      </c>
      <c r="L168">
        <v>1</v>
      </c>
      <c r="M168" t="str">
        <f>IF(tblPenalties[[#This Row],[total_yards]]=0, "Declined", "Accepted")</f>
        <v>Declined</v>
      </c>
    </row>
    <row r="169" spans="1:13" x14ac:dyDescent="0.25">
      <c r="A169" s="1" t="s">
        <v>45</v>
      </c>
      <c r="B169" s="1" t="s">
        <v>28</v>
      </c>
      <c r="C169" s="1" t="s">
        <v>114</v>
      </c>
      <c r="D169">
        <v>1</v>
      </c>
      <c r="E169">
        <v>0</v>
      </c>
      <c r="F169">
        <v>0</v>
      </c>
      <c r="J169" s="1" t="s">
        <v>115</v>
      </c>
      <c r="K169">
        <v>0</v>
      </c>
      <c r="L169">
        <v>1</v>
      </c>
      <c r="M169" t="str">
        <f>IF(tblPenalties[[#This Row],[total_yards]]=0, "Declined", "Accepted")</f>
        <v>Declined</v>
      </c>
    </row>
    <row r="170" spans="1:13" x14ac:dyDescent="0.25">
      <c r="A170" s="1" t="s">
        <v>47</v>
      </c>
      <c r="B170" s="1" t="s">
        <v>13</v>
      </c>
      <c r="C170" s="1" t="s">
        <v>128</v>
      </c>
      <c r="D170">
        <v>1</v>
      </c>
      <c r="E170">
        <v>0</v>
      </c>
      <c r="F170">
        <v>0</v>
      </c>
      <c r="J170" s="1" t="s">
        <v>115</v>
      </c>
      <c r="K170">
        <v>0</v>
      </c>
      <c r="L170">
        <v>1</v>
      </c>
      <c r="M170" t="str">
        <f>IF(tblPenalties[[#This Row],[total_yards]]=0, "Declined", "Accepted")</f>
        <v>Declined</v>
      </c>
    </row>
    <row r="171" spans="1:13" x14ac:dyDescent="0.25">
      <c r="A171" s="1" t="s">
        <v>48</v>
      </c>
      <c r="B171" s="1" t="s">
        <v>26</v>
      </c>
      <c r="C171" s="1" t="s">
        <v>23</v>
      </c>
      <c r="D171">
        <v>1</v>
      </c>
      <c r="E171">
        <v>0</v>
      </c>
      <c r="F171">
        <v>0</v>
      </c>
      <c r="J171" s="1" t="s">
        <v>15</v>
      </c>
      <c r="K171">
        <v>0</v>
      </c>
      <c r="L171">
        <v>1</v>
      </c>
      <c r="M171" t="str">
        <f>IF(tblPenalties[[#This Row],[total_yards]]=0, "Declined", "Accepted")</f>
        <v>Declined</v>
      </c>
    </row>
    <row r="172" spans="1:13" x14ac:dyDescent="0.25">
      <c r="A172" s="1" t="s">
        <v>50</v>
      </c>
      <c r="B172" s="1" t="s">
        <v>17</v>
      </c>
      <c r="C172" s="1" t="s">
        <v>115</v>
      </c>
      <c r="D172">
        <v>1</v>
      </c>
      <c r="E172">
        <v>0</v>
      </c>
      <c r="F172">
        <v>0</v>
      </c>
      <c r="J172" s="1" t="s">
        <v>115</v>
      </c>
      <c r="K172">
        <v>0</v>
      </c>
      <c r="L172">
        <v>1</v>
      </c>
      <c r="M172" t="str">
        <f>IF(tblPenalties[[#This Row],[total_yards]]=0, "Declined", "Accepted")</f>
        <v>Declined</v>
      </c>
    </row>
    <row r="173" spans="1:13" x14ac:dyDescent="0.25">
      <c r="A173" s="1" t="s">
        <v>54</v>
      </c>
      <c r="B173" s="1" t="s">
        <v>13</v>
      </c>
      <c r="C173" s="1" t="s">
        <v>120</v>
      </c>
      <c r="D173">
        <v>1</v>
      </c>
      <c r="E173">
        <v>0</v>
      </c>
      <c r="F173">
        <v>0</v>
      </c>
      <c r="J173" s="1" t="s">
        <v>115</v>
      </c>
      <c r="K173">
        <v>0</v>
      </c>
      <c r="L173">
        <v>1</v>
      </c>
      <c r="M173" t="str">
        <f>IF(tblPenalties[[#This Row],[total_yards]]=0, "Declined", "Accepted")</f>
        <v>Declined</v>
      </c>
    </row>
    <row r="174" spans="1:13" x14ac:dyDescent="0.25">
      <c r="A174" s="1" t="s">
        <v>138</v>
      </c>
      <c r="B174" s="1" t="s">
        <v>17</v>
      </c>
      <c r="C174" s="1" t="s">
        <v>128</v>
      </c>
      <c r="D174">
        <v>1</v>
      </c>
      <c r="E174">
        <v>0</v>
      </c>
      <c r="F174">
        <v>0</v>
      </c>
      <c r="J174" s="1" t="s">
        <v>115</v>
      </c>
      <c r="K174">
        <v>0</v>
      </c>
      <c r="L174">
        <v>1</v>
      </c>
      <c r="M174" t="str">
        <f>IF(tblPenalties[[#This Row],[total_yards]]=0, "Declined", "Accepted")</f>
        <v>Declined</v>
      </c>
    </row>
    <row r="175" spans="1:13" x14ac:dyDescent="0.25">
      <c r="A175" s="1" t="s">
        <v>139</v>
      </c>
      <c r="B175" s="1" t="s">
        <v>17</v>
      </c>
      <c r="C175" s="1" t="s">
        <v>115</v>
      </c>
      <c r="D175">
        <v>1</v>
      </c>
      <c r="E175">
        <v>0</v>
      </c>
      <c r="F175">
        <v>0</v>
      </c>
      <c r="J175" s="1" t="s">
        <v>115</v>
      </c>
      <c r="K175">
        <v>0</v>
      </c>
      <c r="L175">
        <v>1</v>
      </c>
      <c r="M175" t="str">
        <f>IF(tblPenalties[[#This Row],[total_yards]]=0, "Declined", "Accepted")</f>
        <v>Declined</v>
      </c>
    </row>
    <row r="176" spans="1:13" x14ac:dyDescent="0.25">
      <c r="A176" s="1" t="s">
        <v>116</v>
      </c>
      <c r="B176" s="1" t="s">
        <v>21</v>
      </c>
      <c r="C176" s="1" t="s">
        <v>125</v>
      </c>
      <c r="D176">
        <v>1</v>
      </c>
      <c r="E176">
        <v>0</v>
      </c>
      <c r="F176">
        <v>0</v>
      </c>
      <c r="J176" s="1" t="s">
        <v>115</v>
      </c>
      <c r="K176">
        <v>0</v>
      </c>
      <c r="L176">
        <v>1</v>
      </c>
      <c r="M176" t="str">
        <f>IF(tblPenalties[[#This Row],[total_yards]]=0, "Declined", "Accepted")</f>
        <v>Declined</v>
      </c>
    </row>
    <row r="177" spans="1:13" x14ac:dyDescent="0.25">
      <c r="A177" s="1" t="s">
        <v>58</v>
      </c>
      <c r="B177" s="1" t="s">
        <v>19</v>
      </c>
      <c r="C177" s="1" t="s">
        <v>122</v>
      </c>
      <c r="D177">
        <v>1</v>
      </c>
      <c r="E177">
        <v>0</v>
      </c>
      <c r="F177">
        <v>0</v>
      </c>
      <c r="J177" s="1" t="s">
        <v>113</v>
      </c>
      <c r="K177">
        <v>0</v>
      </c>
      <c r="L177">
        <v>1</v>
      </c>
      <c r="M177" t="str">
        <f>IF(tblPenalties[[#This Row],[total_yards]]=0, "Declined", "Accepted")</f>
        <v>Declined</v>
      </c>
    </row>
    <row r="178" spans="1:13" x14ac:dyDescent="0.25">
      <c r="A178" s="1" t="s">
        <v>58</v>
      </c>
      <c r="B178" s="1" t="s">
        <v>19</v>
      </c>
      <c r="C178" s="1" t="s">
        <v>115</v>
      </c>
      <c r="D178">
        <v>1</v>
      </c>
      <c r="E178">
        <v>0</v>
      </c>
      <c r="F178">
        <v>0</v>
      </c>
      <c r="J178" s="1" t="s">
        <v>115</v>
      </c>
      <c r="K178">
        <v>0</v>
      </c>
      <c r="L178">
        <v>1</v>
      </c>
      <c r="M178" t="str">
        <f>IF(tblPenalties[[#This Row],[total_yards]]=0, "Declined", "Accepted")</f>
        <v>Declined</v>
      </c>
    </row>
    <row r="179" spans="1:13" x14ac:dyDescent="0.25">
      <c r="A179" s="1" t="s">
        <v>58</v>
      </c>
      <c r="B179" s="1" t="s">
        <v>19</v>
      </c>
      <c r="C179" s="1" t="s">
        <v>125</v>
      </c>
      <c r="D179">
        <v>1</v>
      </c>
      <c r="E179">
        <v>0</v>
      </c>
      <c r="F179">
        <v>0</v>
      </c>
      <c r="J179" s="1" t="s">
        <v>115</v>
      </c>
      <c r="K179">
        <v>0</v>
      </c>
      <c r="L179">
        <v>1</v>
      </c>
      <c r="M179" t="str">
        <f>IF(tblPenalties[[#This Row],[total_yards]]=0, "Declined", "Accepted")</f>
        <v>Declined</v>
      </c>
    </row>
    <row r="180" spans="1:13" x14ac:dyDescent="0.25">
      <c r="A180" s="1" t="s">
        <v>61</v>
      </c>
      <c r="B180" s="1" t="s">
        <v>13</v>
      </c>
      <c r="C180" s="1" t="s">
        <v>114</v>
      </c>
      <c r="D180">
        <v>1</v>
      </c>
      <c r="E180">
        <v>0</v>
      </c>
      <c r="F180">
        <v>0</v>
      </c>
      <c r="J180" s="1" t="s">
        <v>115</v>
      </c>
      <c r="K180">
        <v>0</v>
      </c>
      <c r="L180">
        <v>1</v>
      </c>
      <c r="M180" t="str">
        <f>IF(tblPenalties[[#This Row],[total_yards]]=0, "Declined", "Accepted")</f>
        <v>Declined</v>
      </c>
    </row>
    <row r="181" spans="1:13" x14ac:dyDescent="0.25">
      <c r="A181" s="1" t="s">
        <v>67</v>
      </c>
      <c r="B181" s="1" t="s">
        <v>52</v>
      </c>
      <c r="C181" s="1" t="s">
        <v>128</v>
      </c>
      <c r="D181">
        <v>1</v>
      </c>
      <c r="E181">
        <v>0</v>
      </c>
      <c r="F181">
        <v>0</v>
      </c>
      <c r="J181" s="1" t="s">
        <v>115</v>
      </c>
      <c r="K181">
        <v>0</v>
      </c>
      <c r="L181">
        <v>1</v>
      </c>
      <c r="M181" t="str">
        <f>IF(tblPenalties[[#This Row],[total_yards]]=0, "Declined", "Accepted")</f>
        <v>Declined</v>
      </c>
    </row>
    <row r="182" spans="1:13" x14ac:dyDescent="0.25">
      <c r="A182" s="1" t="s">
        <v>68</v>
      </c>
      <c r="B182" s="1" t="s">
        <v>19</v>
      </c>
      <c r="C182" s="1" t="s">
        <v>125</v>
      </c>
      <c r="D182">
        <v>1</v>
      </c>
      <c r="E182">
        <v>0</v>
      </c>
      <c r="F182">
        <v>0</v>
      </c>
      <c r="J182" s="1" t="s">
        <v>115</v>
      </c>
      <c r="K182">
        <v>0</v>
      </c>
      <c r="L182">
        <v>1</v>
      </c>
      <c r="M182" t="str">
        <f>IF(tblPenalties[[#This Row],[total_yards]]=0, "Declined", "Accepted")</f>
        <v>Declined</v>
      </c>
    </row>
    <row r="183" spans="1:13" x14ac:dyDescent="0.25">
      <c r="A183" s="1" t="s">
        <v>70</v>
      </c>
      <c r="B183" s="1" t="s">
        <v>21</v>
      </c>
      <c r="C183" s="1" t="s">
        <v>114</v>
      </c>
      <c r="D183">
        <v>1</v>
      </c>
      <c r="E183">
        <v>0</v>
      </c>
      <c r="F183">
        <v>0</v>
      </c>
      <c r="J183" s="1" t="s">
        <v>115</v>
      </c>
      <c r="K183">
        <v>0</v>
      </c>
      <c r="L183">
        <v>1</v>
      </c>
      <c r="M183" t="str">
        <f>IF(tblPenalties[[#This Row],[total_yards]]=0, "Declined", "Accepted")</f>
        <v>Declined</v>
      </c>
    </row>
    <row r="184" spans="1:13" x14ac:dyDescent="0.25">
      <c r="A184" s="1" t="s">
        <v>140</v>
      </c>
      <c r="B184" s="1" t="s">
        <v>52</v>
      </c>
      <c r="C184" s="1" t="s">
        <v>125</v>
      </c>
      <c r="D184">
        <v>1</v>
      </c>
      <c r="E184">
        <v>0</v>
      </c>
      <c r="F184">
        <v>0</v>
      </c>
      <c r="J184" s="1" t="s">
        <v>115</v>
      </c>
      <c r="K184">
        <v>0</v>
      </c>
      <c r="L184">
        <v>1</v>
      </c>
      <c r="M184" t="str">
        <f>IF(tblPenalties[[#This Row],[total_yards]]=0, "Declined", "Accepted")</f>
        <v>Declined</v>
      </c>
    </row>
    <row r="185" spans="1:13" x14ac:dyDescent="0.25">
      <c r="A185" s="1" t="s">
        <v>76</v>
      </c>
      <c r="B185" s="1" t="s">
        <v>21</v>
      </c>
      <c r="C185" s="1" t="s">
        <v>23</v>
      </c>
      <c r="D185">
        <v>1</v>
      </c>
      <c r="E185">
        <v>0</v>
      </c>
      <c r="F185">
        <v>0</v>
      </c>
      <c r="J185" s="1" t="s">
        <v>15</v>
      </c>
      <c r="K185">
        <v>0</v>
      </c>
      <c r="L185">
        <v>1</v>
      </c>
      <c r="M185" t="str">
        <f>IF(tblPenalties[[#This Row],[total_yards]]=0, "Declined", "Accepted")</f>
        <v>Declined</v>
      </c>
    </row>
    <row r="186" spans="1:13" x14ac:dyDescent="0.25">
      <c r="A186" s="1" t="s">
        <v>77</v>
      </c>
      <c r="B186" s="1" t="s">
        <v>17</v>
      </c>
      <c r="C186" s="1" t="s">
        <v>125</v>
      </c>
      <c r="D186">
        <v>1</v>
      </c>
      <c r="E186">
        <v>0</v>
      </c>
      <c r="F186">
        <v>0</v>
      </c>
      <c r="J186" s="1" t="s">
        <v>115</v>
      </c>
      <c r="K186">
        <v>0</v>
      </c>
      <c r="L186">
        <v>1</v>
      </c>
      <c r="M186" t="str">
        <f>IF(tblPenalties[[#This Row],[total_yards]]=0, "Declined", "Accepted")</f>
        <v>Declined</v>
      </c>
    </row>
    <row r="187" spans="1:13" x14ac:dyDescent="0.25">
      <c r="A187" s="1" t="s">
        <v>78</v>
      </c>
      <c r="B187" s="1" t="s">
        <v>79</v>
      </c>
      <c r="C187" s="1" t="s">
        <v>115</v>
      </c>
      <c r="D187">
        <v>1</v>
      </c>
      <c r="E187">
        <v>0</v>
      </c>
      <c r="F187">
        <v>0</v>
      </c>
      <c r="J187" s="1" t="s">
        <v>115</v>
      </c>
      <c r="K187">
        <v>0</v>
      </c>
      <c r="L187">
        <v>1</v>
      </c>
      <c r="M187" t="str">
        <f>IF(tblPenalties[[#This Row],[total_yards]]=0, "Declined", "Accepted")</f>
        <v>Declined</v>
      </c>
    </row>
    <row r="188" spans="1:13" x14ac:dyDescent="0.25">
      <c r="A188" s="1" t="s">
        <v>78</v>
      </c>
      <c r="B188" s="1" t="s">
        <v>79</v>
      </c>
      <c r="C188" s="1" t="s">
        <v>125</v>
      </c>
      <c r="D188">
        <v>1</v>
      </c>
      <c r="E188">
        <v>0</v>
      </c>
      <c r="F188">
        <v>0</v>
      </c>
      <c r="J188" s="1" t="s">
        <v>115</v>
      </c>
      <c r="K188">
        <v>0</v>
      </c>
      <c r="L188">
        <v>1</v>
      </c>
      <c r="M188" t="str">
        <f>IF(tblPenalties[[#This Row],[total_yards]]=0, "Declined", "Accepted")</f>
        <v>Declined</v>
      </c>
    </row>
    <row r="189" spans="1:13" x14ac:dyDescent="0.25">
      <c r="A189" s="1" t="s">
        <v>80</v>
      </c>
      <c r="B189" s="1" t="s">
        <v>52</v>
      </c>
      <c r="C189" s="1" t="s">
        <v>114</v>
      </c>
      <c r="D189">
        <v>1</v>
      </c>
      <c r="E189">
        <v>0</v>
      </c>
      <c r="F189">
        <v>0</v>
      </c>
      <c r="J189" s="1" t="s">
        <v>115</v>
      </c>
      <c r="K189">
        <v>0</v>
      </c>
      <c r="L189">
        <v>1</v>
      </c>
      <c r="M189" t="str">
        <f>IF(tblPenalties[[#This Row],[total_yards]]=0, "Declined", "Accepted")</f>
        <v>Declined</v>
      </c>
    </row>
    <row r="190" spans="1:13" x14ac:dyDescent="0.25">
      <c r="A190" s="1" t="s">
        <v>81</v>
      </c>
      <c r="B190" s="1" t="s">
        <v>52</v>
      </c>
      <c r="C190" s="1" t="s">
        <v>122</v>
      </c>
      <c r="D190">
        <v>1</v>
      </c>
      <c r="E190">
        <v>0</v>
      </c>
      <c r="F190">
        <v>0</v>
      </c>
      <c r="J190" s="1" t="s">
        <v>113</v>
      </c>
      <c r="K190">
        <v>0</v>
      </c>
      <c r="L190">
        <v>1</v>
      </c>
      <c r="M190" t="str">
        <f>IF(tblPenalties[[#This Row],[total_yards]]=0, "Declined", "Accepted")</f>
        <v>Declined</v>
      </c>
    </row>
    <row r="191" spans="1:13" x14ac:dyDescent="0.25">
      <c r="A191" s="1" t="s">
        <v>82</v>
      </c>
      <c r="B191" s="1" t="s">
        <v>34</v>
      </c>
      <c r="C191" s="1" t="s">
        <v>23</v>
      </c>
      <c r="D191">
        <v>1</v>
      </c>
      <c r="E191">
        <v>0</v>
      </c>
      <c r="F191">
        <v>0</v>
      </c>
      <c r="J191" s="1" t="s">
        <v>15</v>
      </c>
      <c r="K191">
        <v>0</v>
      </c>
      <c r="L191">
        <v>1</v>
      </c>
      <c r="M191" t="str">
        <f>IF(tblPenalties[[#This Row],[total_yards]]=0, "Declined", "Accepted")</f>
        <v>Declined</v>
      </c>
    </row>
    <row r="192" spans="1:13" x14ac:dyDescent="0.25">
      <c r="A192" s="1" t="s">
        <v>83</v>
      </c>
      <c r="B192" s="1" t="s">
        <v>52</v>
      </c>
      <c r="C192" s="1" t="s">
        <v>114</v>
      </c>
      <c r="D192">
        <v>1</v>
      </c>
      <c r="E192">
        <v>0</v>
      </c>
      <c r="F192">
        <v>0</v>
      </c>
      <c r="J192" s="1" t="s">
        <v>115</v>
      </c>
      <c r="K192">
        <v>0</v>
      </c>
      <c r="L192">
        <v>1</v>
      </c>
      <c r="M192" t="str">
        <f>IF(tblPenalties[[#This Row],[total_yards]]=0, "Declined", "Accepted")</f>
        <v>Declined</v>
      </c>
    </row>
    <row r="193" spans="1:13" x14ac:dyDescent="0.25">
      <c r="A193" s="1" t="s">
        <v>84</v>
      </c>
      <c r="B193" s="1" t="s">
        <v>13</v>
      </c>
      <c r="C193" s="1" t="s">
        <v>115</v>
      </c>
      <c r="D193">
        <v>1</v>
      </c>
      <c r="E193">
        <v>0</v>
      </c>
      <c r="F193">
        <v>0</v>
      </c>
      <c r="J193" s="1" t="s">
        <v>115</v>
      </c>
      <c r="K193">
        <v>0</v>
      </c>
      <c r="L193">
        <v>1</v>
      </c>
      <c r="M193" t="str">
        <f>IF(tblPenalties[[#This Row],[total_yards]]=0, "Declined", "Accepted")</f>
        <v>Declined</v>
      </c>
    </row>
    <row r="194" spans="1:13" x14ac:dyDescent="0.25">
      <c r="A194" s="1" t="s">
        <v>84</v>
      </c>
      <c r="B194" s="1" t="s">
        <v>13</v>
      </c>
      <c r="C194" s="1" t="s">
        <v>125</v>
      </c>
      <c r="D194">
        <v>1</v>
      </c>
      <c r="E194">
        <v>0</v>
      </c>
      <c r="F194">
        <v>0</v>
      </c>
      <c r="J194" s="1" t="s">
        <v>115</v>
      </c>
      <c r="K194">
        <v>0</v>
      </c>
      <c r="L194">
        <v>1</v>
      </c>
      <c r="M194" t="str">
        <f>IF(tblPenalties[[#This Row],[total_yards]]=0, "Declined", "Accepted")</f>
        <v>Declined</v>
      </c>
    </row>
    <row r="195" spans="1:13" x14ac:dyDescent="0.25">
      <c r="A195" s="1" t="s">
        <v>87</v>
      </c>
      <c r="B195" s="1" t="s">
        <v>26</v>
      </c>
      <c r="C195" s="1" t="s">
        <v>115</v>
      </c>
      <c r="D195">
        <v>1</v>
      </c>
      <c r="E195">
        <v>0</v>
      </c>
      <c r="F195">
        <v>0</v>
      </c>
      <c r="J195" s="1" t="s">
        <v>115</v>
      </c>
      <c r="K195">
        <v>0</v>
      </c>
      <c r="L195">
        <v>1</v>
      </c>
      <c r="M195" t="str">
        <f>IF(tblPenalties[[#This Row],[total_yards]]=0, "Declined", "Accepted")</f>
        <v>Declined</v>
      </c>
    </row>
    <row r="196" spans="1:13" x14ac:dyDescent="0.25">
      <c r="A196" s="1" t="s">
        <v>88</v>
      </c>
      <c r="B196" s="1" t="s">
        <v>19</v>
      </c>
      <c r="C196" s="1" t="s">
        <v>115</v>
      </c>
      <c r="D196">
        <v>1</v>
      </c>
      <c r="E196">
        <v>0</v>
      </c>
      <c r="F196">
        <v>0</v>
      </c>
      <c r="J196" s="1" t="s">
        <v>115</v>
      </c>
      <c r="K196">
        <v>0</v>
      </c>
      <c r="L196">
        <v>1</v>
      </c>
      <c r="M196" t="str">
        <f>IF(tblPenalties[[#This Row],[total_yards]]=0, "Declined", "Accepted")</f>
        <v>Declined</v>
      </c>
    </row>
    <row r="197" spans="1:13" x14ac:dyDescent="0.25">
      <c r="A197" s="1" t="s">
        <v>89</v>
      </c>
      <c r="B197" s="1" t="s">
        <v>13</v>
      </c>
      <c r="C197" s="1" t="s">
        <v>120</v>
      </c>
      <c r="D197">
        <v>1</v>
      </c>
      <c r="E197">
        <v>0</v>
      </c>
      <c r="F197">
        <v>0</v>
      </c>
      <c r="J197" s="1" t="s">
        <v>115</v>
      </c>
      <c r="K197">
        <v>0</v>
      </c>
      <c r="L197">
        <v>1</v>
      </c>
      <c r="M197" t="str">
        <f>IF(tblPenalties[[#This Row],[total_yards]]=0, "Declined", "Accepted")</f>
        <v>Declined</v>
      </c>
    </row>
    <row r="198" spans="1:13" x14ac:dyDescent="0.25">
      <c r="A198" s="1" t="s">
        <v>141</v>
      </c>
      <c r="B198" s="1" t="s">
        <v>28</v>
      </c>
      <c r="C198" s="1" t="s">
        <v>125</v>
      </c>
      <c r="D198">
        <v>1</v>
      </c>
      <c r="E198">
        <v>0</v>
      </c>
      <c r="F198">
        <v>0</v>
      </c>
      <c r="J198" s="1" t="s">
        <v>115</v>
      </c>
      <c r="K198">
        <v>0</v>
      </c>
      <c r="L198">
        <v>1</v>
      </c>
      <c r="M198" t="str">
        <f>IF(tblPenalties[[#This Row],[total_yards]]=0, "Declined", "Accepted")</f>
        <v>Declined</v>
      </c>
    </row>
    <row r="199" spans="1:13" x14ac:dyDescent="0.25">
      <c r="A199" s="1" t="s">
        <v>91</v>
      </c>
      <c r="B199" s="1" t="s">
        <v>17</v>
      </c>
      <c r="C199" s="1" t="s">
        <v>31</v>
      </c>
      <c r="D199">
        <v>1</v>
      </c>
      <c r="E199">
        <v>0</v>
      </c>
      <c r="F199">
        <v>0</v>
      </c>
      <c r="J199" s="1" t="s">
        <v>15</v>
      </c>
      <c r="K199">
        <v>0</v>
      </c>
      <c r="L199">
        <v>1</v>
      </c>
      <c r="M199" t="str">
        <f>IF(tblPenalties[[#This Row],[total_yards]]=0, "Declined", "Accepted")</f>
        <v>Declined</v>
      </c>
    </row>
    <row r="200" spans="1:13" x14ac:dyDescent="0.25">
      <c r="A200" s="1" t="s">
        <v>95</v>
      </c>
      <c r="B200" s="1" t="s">
        <v>34</v>
      </c>
      <c r="C200" s="1" t="s">
        <v>23</v>
      </c>
      <c r="D200">
        <v>1</v>
      </c>
      <c r="E200">
        <v>0</v>
      </c>
      <c r="F200">
        <v>0</v>
      </c>
      <c r="J200" s="1" t="s">
        <v>15</v>
      </c>
      <c r="K200">
        <v>0</v>
      </c>
      <c r="L200">
        <v>1</v>
      </c>
      <c r="M200" t="str">
        <f>IF(tblPenalties[[#This Row],[total_yards]]=0, "Declined", "Accepted")</f>
        <v>Declined</v>
      </c>
    </row>
    <row r="201" spans="1:13" x14ac:dyDescent="0.25">
      <c r="A201" s="1" t="s">
        <v>95</v>
      </c>
      <c r="B201" s="1" t="s">
        <v>34</v>
      </c>
      <c r="C201" s="1" t="s">
        <v>49</v>
      </c>
      <c r="D201">
        <v>1</v>
      </c>
      <c r="E201">
        <v>0</v>
      </c>
      <c r="F201">
        <v>0</v>
      </c>
      <c r="J201" s="1" t="s">
        <v>15</v>
      </c>
      <c r="K201">
        <v>0</v>
      </c>
      <c r="L201">
        <v>1</v>
      </c>
      <c r="M201" t="str">
        <f>IF(tblPenalties[[#This Row],[total_yards]]=0, "Declined", "Accepted")</f>
        <v>Declined</v>
      </c>
    </row>
    <row r="202" spans="1:13" x14ac:dyDescent="0.25">
      <c r="A202" s="1" t="s">
        <v>95</v>
      </c>
      <c r="B202" s="1" t="s">
        <v>34</v>
      </c>
      <c r="C202" s="1" t="s">
        <v>31</v>
      </c>
      <c r="D202">
        <v>1</v>
      </c>
      <c r="E202">
        <v>0</v>
      </c>
      <c r="F202">
        <v>0</v>
      </c>
      <c r="J202" s="1" t="s">
        <v>15</v>
      </c>
      <c r="K202">
        <v>0</v>
      </c>
      <c r="L202">
        <v>1</v>
      </c>
      <c r="M202" t="str">
        <f>IF(tblPenalties[[#This Row],[total_yards]]=0, "Declined", "Accepted")</f>
        <v>Declined</v>
      </c>
    </row>
    <row r="203" spans="1:13" x14ac:dyDescent="0.25">
      <c r="A203" s="1" t="s">
        <v>96</v>
      </c>
      <c r="B203" s="1" t="s">
        <v>34</v>
      </c>
      <c r="C203" s="1" t="s">
        <v>23</v>
      </c>
      <c r="D203">
        <v>1</v>
      </c>
      <c r="E203">
        <v>0</v>
      </c>
      <c r="F203">
        <v>0</v>
      </c>
      <c r="J203" s="1" t="s">
        <v>15</v>
      </c>
      <c r="K203">
        <v>0</v>
      </c>
      <c r="L203">
        <v>1</v>
      </c>
      <c r="M203" t="str">
        <f>IF(tblPenalties[[#This Row],[total_yards]]=0, "Declined", "Accepted")</f>
        <v>Declined</v>
      </c>
    </row>
    <row r="204" spans="1:13" x14ac:dyDescent="0.25">
      <c r="A204" s="1" t="s">
        <v>142</v>
      </c>
      <c r="B204" s="1" t="s">
        <v>52</v>
      </c>
      <c r="C204" s="1" t="s">
        <v>22</v>
      </c>
      <c r="D204">
        <v>1</v>
      </c>
      <c r="E204">
        <v>0</v>
      </c>
      <c r="F204">
        <v>0</v>
      </c>
      <c r="J204" s="1" t="s">
        <v>15</v>
      </c>
      <c r="K204">
        <v>0</v>
      </c>
      <c r="L204">
        <v>1</v>
      </c>
      <c r="M204" t="str">
        <f>IF(tblPenalties[[#This Row],[total_yards]]=0, "Declined", "Accepted")</f>
        <v>Declined</v>
      </c>
    </row>
    <row r="205" spans="1:13" x14ac:dyDescent="0.25">
      <c r="A205" s="1" t="s">
        <v>142</v>
      </c>
      <c r="B205" s="1" t="s">
        <v>52</v>
      </c>
      <c r="C205" s="1" t="s">
        <v>128</v>
      </c>
      <c r="D205">
        <v>1</v>
      </c>
      <c r="E205">
        <v>0</v>
      </c>
      <c r="F205">
        <v>0</v>
      </c>
      <c r="J205" s="1" t="s">
        <v>115</v>
      </c>
      <c r="K205">
        <v>0</v>
      </c>
      <c r="L205">
        <v>1</v>
      </c>
      <c r="M205" t="str">
        <f>IF(tblPenalties[[#This Row],[total_yards]]=0, "Declined", "Accepted")</f>
        <v>Declined</v>
      </c>
    </row>
    <row r="206" spans="1:13" x14ac:dyDescent="0.25">
      <c r="A206" s="1" t="s">
        <v>101</v>
      </c>
      <c r="B206" s="1" t="s">
        <v>21</v>
      </c>
      <c r="C206" s="1" t="s">
        <v>49</v>
      </c>
      <c r="D206">
        <v>1</v>
      </c>
      <c r="E206">
        <v>0</v>
      </c>
      <c r="F206">
        <v>0</v>
      </c>
      <c r="J206" s="1" t="s">
        <v>15</v>
      </c>
      <c r="K206">
        <v>0</v>
      </c>
      <c r="L206">
        <v>1</v>
      </c>
      <c r="M206" t="str">
        <f>IF(tblPenalties[[#This Row],[total_yards]]=0, "Declined", "Accepted")</f>
        <v>Declined</v>
      </c>
    </row>
    <row r="207" spans="1:13" x14ac:dyDescent="0.25">
      <c r="A207" s="1" t="s">
        <v>102</v>
      </c>
      <c r="B207" s="1" t="s">
        <v>26</v>
      </c>
      <c r="C207" s="1" t="s">
        <v>23</v>
      </c>
      <c r="D207">
        <v>1</v>
      </c>
      <c r="E207">
        <v>0</v>
      </c>
      <c r="F207">
        <v>0</v>
      </c>
      <c r="J207" s="1" t="s">
        <v>15</v>
      </c>
      <c r="K207">
        <v>0</v>
      </c>
      <c r="L207">
        <v>1</v>
      </c>
      <c r="M207" t="str">
        <f>IF(tblPenalties[[#This Row],[total_yards]]=0, "Declined", "Accepted")</f>
        <v>Declined</v>
      </c>
    </row>
    <row r="208" spans="1:13" x14ac:dyDescent="0.25">
      <c r="A208" s="1" t="s">
        <v>103</v>
      </c>
      <c r="B208" s="1" t="s">
        <v>34</v>
      </c>
      <c r="C208" s="1" t="s">
        <v>128</v>
      </c>
      <c r="D208">
        <v>1</v>
      </c>
      <c r="E208">
        <v>0</v>
      </c>
      <c r="F208">
        <v>0</v>
      </c>
      <c r="J208" s="1" t="s">
        <v>115</v>
      </c>
      <c r="K208">
        <v>0</v>
      </c>
      <c r="L208">
        <v>1</v>
      </c>
      <c r="M208" t="str">
        <f>IF(tblPenalties[[#This Row],[total_yards]]=0, "Declined", "Accepted")</f>
        <v>Declined</v>
      </c>
    </row>
    <row r="209" spans="1:13" x14ac:dyDescent="0.25">
      <c r="A209" s="1" t="s">
        <v>143</v>
      </c>
      <c r="B209" s="1" t="s">
        <v>40</v>
      </c>
      <c r="C209" s="1" t="s">
        <v>23</v>
      </c>
      <c r="D209">
        <v>1</v>
      </c>
      <c r="E209">
        <v>0</v>
      </c>
      <c r="F209">
        <v>0</v>
      </c>
      <c r="J209" s="1" t="s">
        <v>15</v>
      </c>
      <c r="K209">
        <v>0</v>
      </c>
      <c r="L209">
        <v>1</v>
      </c>
      <c r="M209" t="str">
        <f>IF(tblPenalties[[#This Row],[total_yards]]=0, "Declined", "Accepted")</f>
        <v>Declined</v>
      </c>
    </row>
    <row r="210" spans="1:13" x14ac:dyDescent="0.25">
      <c r="A210" s="1" t="s">
        <v>143</v>
      </c>
      <c r="B210" s="1" t="s">
        <v>40</v>
      </c>
      <c r="C210" s="1" t="s">
        <v>125</v>
      </c>
      <c r="D210">
        <v>1</v>
      </c>
      <c r="E210">
        <v>0</v>
      </c>
      <c r="F210">
        <v>0</v>
      </c>
      <c r="J210" s="1" t="s">
        <v>115</v>
      </c>
      <c r="K210">
        <v>0</v>
      </c>
      <c r="L210">
        <v>1</v>
      </c>
      <c r="M210" t="str">
        <f>IF(tblPenalties[[#This Row],[total_yards]]=0, "Declined", "Accepted")</f>
        <v>Declined</v>
      </c>
    </row>
    <row r="211" spans="1:13" x14ac:dyDescent="0.25">
      <c r="A211" s="1" t="s">
        <v>108</v>
      </c>
      <c r="B211" s="1" t="s">
        <v>28</v>
      </c>
      <c r="C211" s="1" t="s">
        <v>49</v>
      </c>
      <c r="D211">
        <v>1</v>
      </c>
      <c r="E211">
        <v>0</v>
      </c>
      <c r="F211">
        <v>0</v>
      </c>
      <c r="J211" s="1" t="s">
        <v>15</v>
      </c>
      <c r="K211">
        <v>0</v>
      </c>
      <c r="L211">
        <v>1</v>
      </c>
      <c r="M211" t="str">
        <f>IF(tblPenalties[[#This Row],[total_yards]]=0, "Declined", "Accepted")</f>
        <v>Declined</v>
      </c>
    </row>
    <row r="212" spans="1:13" x14ac:dyDescent="0.25">
      <c r="A212" s="1" t="s">
        <v>133</v>
      </c>
      <c r="B212" s="1" t="s">
        <v>52</v>
      </c>
      <c r="C212" s="1" t="s">
        <v>117</v>
      </c>
      <c r="D212">
        <v>1</v>
      </c>
      <c r="E212">
        <v>0</v>
      </c>
      <c r="F212">
        <v>0</v>
      </c>
      <c r="J212" s="1" t="s">
        <v>118</v>
      </c>
      <c r="K212">
        <v>0</v>
      </c>
      <c r="L212">
        <v>1</v>
      </c>
      <c r="M212" t="str">
        <f>IF(tblPenalties[[#This Row],[total_yards]]=0, "Declined", "Accepted")</f>
        <v>Declined</v>
      </c>
    </row>
    <row r="213" spans="1:13" x14ac:dyDescent="0.25">
      <c r="A213" s="1" t="s">
        <v>133</v>
      </c>
      <c r="B213" s="1" t="s">
        <v>52</v>
      </c>
      <c r="C213" s="1" t="s">
        <v>128</v>
      </c>
      <c r="D213">
        <v>1</v>
      </c>
      <c r="E213">
        <v>0</v>
      </c>
      <c r="F213">
        <v>0</v>
      </c>
      <c r="J213" s="1" t="s">
        <v>115</v>
      </c>
      <c r="K213">
        <v>0</v>
      </c>
      <c r="L213">
        <v>1</v>
      </c>
      <c r="M213" t="str">
        <f>IF(tblPenalties[[#This Row],[total_yards]]=0, "Declined", "Accepted")</f>
        <v>Declined</v>
      </c>
    </row>
    <row r="214" spans="1:13" x14ac:dyDescent="0.25">
      <c r="A214" s="1" t="s">
        <v>109</v>
      </c>
      <c r="B214" s="1" t="s">
        <v>79</v>
      </c>
      <c r="C214" s="1" t="s">
        <v>114</v>
      </c>
      <c r="D214">
        <v>1</v>
      </c>
      <c r="E214">
        <v>0</v>
      </c>
      <c r="F214">
        <v>0</v>
      </c>
      <c r="J214" s="1" t="s">
        <v>115</v>
      </c>
      <c r="K214">
        <v>0</v>
      </c>
      <c r="L214">
        <v>1</v>
      </c>
      <c r="M214" t="str">
        <f>IF(tblPenalties[[#This Row],[total_yards]]=0, "Declined", "Accepted")</f>
        <v>Declined</v>
      </c>
    </row>
    <row r="215" spans="1:13" x14ac:dyDescent="0.25">
      <c r="A215" s="1" t="s">
        <v>144</v>
      </c>
      <c r="B215" s="1" t="s">
        <v>26</v>
      </c>
      <c r="C215" s="1" t="s">
        <v>125</v>
      </c>
      <c r="D215">
        <v>1</v>
      </c>
      <c r="E215">
        <v>0</v>
      </c>
      <c r="F215">
        <v>0</v>
      </c>
      <c r="J215" s="1" t="s">
        <v>115</v>
      </c>
      <c r="K215">
        <v>0</v>
      </c>
      <c r="L215">
        <v>1</v>
      </c>
      <c r="M215" t="str">
        <f>IF(tblPenalties[[#This Row],[total_yards]]=0, "Declined", "Accepted")</f>
        <v>Declined</v>
      </c>
    </row>
    <row r="216" spans="1:13" x14ac:dyDescent="0.25">
      <c r="A216" s="1" t="s">
        <v>145</v>
      </c>
      <c r="B216" s="1" t="s">
        <v>21</v>
      </c>
      <c r="C216" s="1" t="s">
        <v>128</v>
      </c>
      <c r="D216">
        <v>1</v>
      </c>
      <c r="E216">
        <v>15</v>
      </c>
      <c r="F216">
        <v>15</v>
      </c>
      <c r="J216" s="1" t="s">
        <v>115</v>
      </c>
      <c r="K216">
        <v>1</v>
      </c>
      <c r="L216">
        <v>0</v>
      </c>
      <c r="M216" t="str">
        <f>IF(tblPenalties[[#This Row],[total_yards]]=0, "Declined", "Accepted")</f>
        <v>Accepted</v>
      </c>
    </row>
    <row r="217" spans="1:13" x14ac:dyDescent="0.25">
      <c r="A217" s="1" t="s">
        <v>145</v>
      </c>
      <c r="B217" s="1" t="s">
        <v>21</v>
      </c>
      <c r="C217" s="1" t="s">
        <v>120</v>
      </c>
      <c r="D217">
        <v>1</v>
      </c>
      <c r="E217">
        <v>15</v>
      </c>
      <c r="F217">
        <v>15</v>
      </c>
      <c r="J217" s="1" t="s">
        <v>115</v>
      </c>
      <c r="K217">
        <v>1</v>
      </c>
      <c r="L217">
        <v>0</v>
      </c>
      <c r="M217" t="str">
        <f>IF(tblPenalties[[#This Row],[total_yards]]=0, "Declined", "Accepted")</f>
        <v>Accepted</v>
      </c>
    </row>
    <row r="218" spans="1:13" x14ac:dyDescent="0.25">
      <c r="A218" s="1" t="s">
        <v>16</v>
      </c>
      <c r="B218" s="1" t="s">
        <v>17</v>
      </c>
      <c r="C218" s="1" t="s">
        <v>128</v>
      </c>
      <c r="D218">
        <v>3</v>
      </c>
      <c r="E218">
        <v>45</v>
      </c>
      <c r="F218">
        <v>15</v>
      </c>
      <c r="J218" s="1" t="s">
        <v>115</v>
      </c>
      <c r="K218">
        <v>1</v>
      </c>
      <c r="L218">
        <v>0</v>
      </c>
      <c r="M218" t="str">
        <f>IF(tblPenalties[[#This Row],[total_yards]]=0, "Declined", "Accepted")</f>
        <v>Accepted</v>
      </c>
    </row>
    <row r="219" spans="1:13" x14ac:dyDescent="0.25">
      <c r="A219" s="1" t="s">
        <v>18</v>
      </c>
      <c r="B219" s="1" t="s">
        <v>19</v>
      </c>
      <c r="C219" s="1" t="s">
        <v>114</v>
      </c>
      <c r="D219">
        <v>2</v>
      </c>
      <c r="E219">
        <v>30</v>
      </c>
      <c r="F219">
        <v>15</v>
      </c>
      <c r="J219" s="1" t="s">
        <v>115</v>
      </c>
      <c r="K219">
        <v>1</v>
      </c>
      <c r="L219">
        <v>0</v>
      </c>
      <c r="M219" t="str">
        <f>IF(tblPenalties[[#This Row],[total_yards]]=0, "Declined", "Accepted")</f>
        <v>Accepted</v>
      </c>
    </row>
    <row r="220" spans="1:13" x14ac:dyDescent="0.25">
      <c r="A220" s="1" t="s">
        <v>146</v>
      </c>
      <c r="B220" s="1" t="s">
        <v>34</v>
      </c>
      <c r="C220" s="1" t="s">
        <v>122</v>
      </c>
      <c r="D220">
        <v>2</v>
      </c>
      <c r="E220">
        <v>30</v>
      </c>
      <c r="F220">
        <v>15</v>
      </c>
      <c r="J220" s="1" t="s">
        <v>113</v>
      </c>
      <c r="K220">
        <v>1</v>
      </c>
      <c r="L220">
        <v>0</v>
      </c>
      <c r="M220" t="str">
        <f>IF(tblPenalties[[#This Row],[total_yards]]=0, "Declined", "Accepted")</f>
        <v>Accepted</v>
      </c>
    </row>
    <row r="221" spans="1:13" x14ac:dyDescent="0.25">
      <c r="A221" s="1" t="s">
        <v>25</v>
      </c>
      <c r="B221" s="1" t="s">
        <v>26</v>
      </c>
      <c r="C221" s="1" t="s">
        <v>128</v>
      </c>
      <c r="D221">
        <v>1</v>
      </c>
      <c r="E221">
        <v>15</v>
      </c>
      <c r="F221">
        <v>15</v>
      </c>
      <c r="J221" s="1" t="s">
        <v>115</v>
      </c>
      <c r="K221">
        <v>1</v>
      </c>
      <c r="L221">
        <v>0</v>
      </c>
      <c r="M221" t="str">
        <f>IF(tblPenalties[[#This Row],[total_yards]]=0, "Declined", "Accepted")</f>
        <v>Accepted</v>
      </c>
    </row>
    <row r="222" spans="1:13" x14ac:dyDescent="0.25">
      <c r="A222" s="1" t="s">
        <v>25</v>
      </c>
      <c r="B222" s="1" t="s">
        <v>26</v>
      </c>
      <c r="C222" s="1" t="s">
        <v>114</v>
      </c>
      <c r="D222">
        <v>1</v>
      </c>
      <c r="E222">
        <v>15</v>
      </c>
      <c r="F222">
        <v>15</v>
      </c>
      <c r="J222" s="1" t="s">
        <v>115</v>
      </c>
      <c r="K222">
        <v>1</v>
      </c>
      <c r="L222">
        <v>0</v>
      </c>
      <c r="M222" t="str">
        <f>IF(tblPenalties[[#This Row],[total_yards]]=0, "Declined", "Accepted")</f>
        <v>Accepted</v>
      </c>
    </row>
    <row r="223" spans="1:13" x14ac:dyDescent="0.25">
      <c r="A223" s="1" t="s">
        <v>33</v>
      </c>
      <c r="B223" s="1" t="s">
        <v>34</v>
      </c>
      <c r="C223" s="1" t="s">
        <v>122</v>
      </c>
      <c r="D223">
        <v>1</v>
      </c>
      <c r="E223">
        <v>15</v>
      </c>
      <c r="F223">
        <v>15</v>
      </c>
      <c r="J223" s="1" t="s">
        <v>113</v>
      </c>
      <c r="K223">
        <v>1</v>
      </c>
      <c r="L223">
        <v>0</v>
      </c>
      <c r="M223" t="str">
        <f>IF(tblPenalties[[#This Row],[total_yards]]=0, "Declined", "Accepted")</f>
        <v>Accepted</v>
      </c>
    </row>
    <row r="224" spans="1:13" x14ac:dyDescent="0.25">
      <c r="A224" s="1" t="s">
        <v>36</v>
      </c>
      <c r="B224" s="1" t="s">
        <v>13</v>
      </c>
      <c r="C224" s="1" t="s">
        <v>120</v>
      </c>
      <c r="D224">
        <v>1</v>
      </c>
      <c r="E224">
        <v>15</v>
      </c>
      <c r="F224">
        <v>15</v>
      </c>
      <c r="J224" s="1" t="s">
        <v>115</v>
      </c>
      <c r="K224">
        <v>1</v>
      </c>
      <c r="L224">
        <v>0</v>
      </c>
      <c r="M224" t="str">
        <f>IF(tblPenalties[[#This Row],[total_yards]]=0, "Declined", "Accepted")</f>
        <v>Accepted</v>
      </c>
    </row>
    <row r="225" spans="1:13" x14ac:dyDescent="0.25">
      <c r="A225" s="1" t="s">
        <v>37</v>
      </c>
      <c r="B225" s="1" t="s">
        <v>17</v>
      </c>
      <c r="C225" s="1" t="s">
        <v>128</v>
      </c>
      <c r="D225">
        <v>1</v>
      </c>
      <c r="E225">
        <v>15</v>
      </c>
      <c r="F225">
        <v>15</v>
      </c>
      <c r="J225" s="1" t="s">
        <v>115</v>
      </c>
      <c r="K225">
        <v>1</v>
      </c>
      <c r="L225">
        <v>0</v>
      </c>
      <c r="M225" t="str">
        <f>IF(tblPenalties[[#This Row],[total_yards]]=0, "Declined", "Accepted")</f>
        <v>Accepted</v>
      </c>
    </row>
    <row r="226" spans="1:13" x14ac:dyDescent="0.25">
      <c r="A226" s="1" t="s">
        <v>39</v>
      </c>
      <c r="B226" s="1" t="s">
        <v>40</v>
      </c>
      <c r="C226" s="1" t="s">
        <v>31</v>
      </c>
      <c r="D226">
        <v>2</v>
      </c>
      <c r="E226">
        <v>30</v>
      </c>
      <c r="F226">
        <v>15</v>
      </c>
      <c r="J226" s="1" t="s">
        <v>15</v>
      </c>
      <c r="K226">
        <v>1</v>
      </c>
      <c r="L226">
        <v>0</v>
      </c>
      <c r="M226" t="str">
        <f>IF(tblPenalties[[#This Row],[total_yards]]=0, "Declined", "Accepted")</f>
        <v>Accepted</v>
      </c>
    </row>
    <row r="227" spans="1:13" x14ac:dyDescent="0.25">
      <c r="A227" s="1" t="s">
        <v>41</v>
      </c>
      <c r="B227" s="1" t="s">
        <v>21</v>
      </c>
      <c r="C227" s="1" t="s">
        <v>128</v>
      </c>
      <c r="D227">
        <v>1</v>
      </c>
      <c r="E227">
        <v>15</v>
      </c>
      <c r="F227">
        <v>15</v>
      </c>
      <c r="J227" s="1" t="s">
        <v>115</v>
      </c>
      <c r="K227">
        <v>1</v>
      </c>
      <c r="L227">
        <v>0</v>
      </c>
      <c r="M227" t="str">
        <f>IF(tblPenalties[[#This Row],[total_yards]]=0, "Declined", "Accepted")</f>
        <v>Accepted</v>
      </c>
    </row>
    <row r="228" spans="1:13" x14ac:dyDescent="0.25">
      <c r="A228" s="1" t="s">
        <v>127</v>
      </c>
      <c r="B228" s="1" t="s">
        <v>34</v>
      </c>
      <c r="C228" s="1" t="s">
        <v>122</v>
      </c>
      <c r="D228">
        <v>1</v>
      </c>
      <c r="E228">
        <v>15</v>
      </c>
      <c r="F228">
        <v>15</v>
      </c>
      <c r="J228" s="1" t="s">
        <v>113</v>
      </c>
      <c r="K228">
        <v>1</v>
      </c>
      <c r="L228">
        <v>0</v>
      </c>
      <c r="M228" t="str">
        <f>IF(tblPenalties[[#This Row],[total_yards]]=0, "Declined", "Accepted")</f>
        <v>Accepted</v>
      </c>
    </row>
    <row r="229" spans="1:13" x14ac:dyDescent="0.25">
      <c r="A229" s="1" t="s">
        <v>42</v>
      </c>
      <c r="B229" s="1" t="s">
        <v>34</v>
      </c>
      <c r="C229" s="1" t="s">
        <v>122</v>
      </c>
      <c r="D229">
        <v>1</v>
      </c>
      <c r="E229">
        <v>15</v>
      </c>
      <c r="F229">
        <v>15</v>
      </c>
      <c r="J229" s="1" t="s">
        <v>113</v>
      </c>
      <c r="K229">
        <v>1</v>
      </c>
      <c r="L229">
        <v>0</v>
      </c>
      <c r="M229" t="str">
        <f>IF(tblPenalties[[#This Row],[total_yards]]=0, "Declined", "Accepted")</f>
        <v>Accepted</v>
      </c>
    </row>
    <row r="230" spans="1:13" x14ac:dyDescent="0.25">
      <c r="A230" s="1" t="s">
        <v>42</v>
      </c>
      <c r="B230" s="1" t="s">
        <v>34</v>
      </c>
      <c r="C230" s="1" t="s">
        <v>120</v>
      </c>
      <c r="D230">
        <v>1</v>
      </c>
      <c r="E230">
        <v>15</v>
      </c>
      <c r="F230">
        <v>15</v>
      </c>
      <c r="J230" s="1" t="s">
        <v>115</v>
      </c>
      <c r="K230">
        <v>1</v>
      </c>
      <c r="L230">
        <v>0</v>
      </c>
      <c r="M230" t="str">
        <f>IF(tblPenalties[[#This Row],[total_yards]]=0, "Declined", "Accepted")</f>
        <v>Accepted</v>
      </c>
    </row>
    <row r="231" spans="1:13" x14ac:dyDescent="0.25">
      <c r="A231" s="1" t="s">
        <v>42</v>
      </c>
      <c r="B231" s="1" t="s">
        <v>34</v>
      </c>
      <c r="C231" s="1" t="s">
        <v>114</v>
      </c>
      <c r="D231">
        <v>1</v>
      </c>
      <c r="E231">
        <v>15</v>
      </c>
      <c r="F231">
        <v>15</v>
      </c>
      <c r="J231" s="1" t="s">
        <v>115</v>
      </c>
      <c r="K231">
        <v>1</v>
      </c>
      <c r="L231">
        <v>0</v>
      </c>
      <c r="M231" t="str">
        <f>IF(tblPenalties[[#This Row],[total_yards]]=0, "Declined", "Accepted")</f>
        <v>Accepted</v>
      </c>
    </row>
    <row r="232" spans="1:13" x14ac:dyDescent="0.25">
      <c r="A232" s="1" t="s">
        <v>43</v>
      </c>
      <c r="B232" s="1" t="s">
        <v>40</v>
      </c>
      <c r="C232" s="1" t="s">
        <v>128</v>
      </c>
      <c r="D232">
        <v>4</v>
      </c>
      <c r="E232">
        <v>60</v>
      </c>
      <c r="F232">
        <v>15</v>
      </c>
      <c r="J232" s="1" t="s">
        <v>115</v>
      </c>
      <c r="K232">
        <v>1</v>
      </c>
      <c r="L232">
        <v>0</v>
      </c>
      <c r="M232" t="str">
        <f>IF(tblPenalties[[#This Row],[total_yards]]=0, "Declined", "Accepted")</f>
        <v>Accepted</v>
      </c>
    </row>
    <row r="233" spans="1:13" x14ac:dyDescent="0.25">
      <c r="A233" s="1" t="s">
        <v>44</v>
      </c>
      <c r="B233" s="1" t="s">
        <v>19</v>
      </c>
      <c r="C233" s="1" t="s">
        <v>122</v>
      </c>
      <c r="D233">
        <v>1</v>
      </c>
      <c r="E233">
        <v>15</v>
      </c>
      <c r="F233">
        <v>15</v>
      </c>
      <c r="J233" s="1" t="s">
        <v>113</v>
      </c>
      <c r="K233">
        <v>1</v>
      </c>
      <c r="L233">
        <v>0</v>
      </c>
      <c r="M233" t="str">
        <f>IF(tblPenalties[[#This Row],[total_yards]]=0, "Declined", "Accepted")</f>
        <v>Accepted</v>
      </c>
    </row>
    <row r="234" spans="1:13" x14ac:dyDescent="0.25">
      <c r="A234" s="1" t="s">
        <v>44</v>
      </c>
      <c r="B234" s="1" t="s">
        <v>19</v>
      </c>
      <c r="C234" s="1" t="s">
        <v>128</v>
      </c>
      <c r="D234">
        <v>1</v>
      </c>
      <c r="E234">
        <v>15</v>
      </c>
      <c r="F234">
        <v>15</v>
      </c>
      <c r="J234" s="1" t="s">
        <v>115</v>
      </c>
      <c r="K234">
        <v>1</v>
      </c>
      <c r="L234">
        <v>0</v>
      </c>
      <c r="M234" t="str">
        <f>IF(tblPenalties[[#This Row],[total_yards]]=0, "Declined", "Accepted")</f>
        <v>Accepted</v>
      </c>
    </row>
    <row r="235" spans="1:13" x14ac:dyDescent="0.25">
      <c r="A235" s="1" t="s">
        <v>147</v>
      </c>
      <c r="B235" s="1" t="s">
        <v>13</v>
      </c>
      <c r="C235" s="1" t="s">
        <v>120</v>
      </c>
      <c r="D235">
        <v>1</v>
      </c>
      <c r="E235">
        <v>15</v>
      </c>
      <c r="F235">
        <v>15</v>
      </c>
      <c r="J235" s="1" t="s">
        <v>115</v>
      </c>
      <c r="K235">
        <v>1</v>
      </c>
      <c r="L235">
        <v>0</v>
      </c>
      <c r="M235" t="str">
        <f>IF(tblPenalties[[#This Row],[total_yards]]=0, "Declined", "Accepted")</f>
        <v>Accepted</v>
      </c>
    </row>
    <row r="236" spans="1:13" x14ac:dyDescent="0.25">
      <c r="A236" s="1" t="s">
        <v>51</v>
      </c>
      <c r="B236" s="1" t="s">
        <v>52</v>
      </c>
      <c r="C236" s="1" t="s">
        <v>122</v>
      </c>
      <c r="D236">
        <v>1</v>
      </c>
      <c r="E236">
        <v>15</v>
      </c>
      <c r="F236">
        <v>15</v>
      </c>
      <c r="J236" s="1" t="s">
        <v>113</v>
      </c>
      <c r="K236">
        <v>1</v>
      </c>
      <c r="L236">
        <v>0</v>
      </c>
      <c r="M236" t="str">
        <f>IF(tblPenalties[[#This Row],[total_yards]]=0, "Declined", "Accepted")</f>
        <v>Accepted</v>
      </c>
    </row>
    <row r="237" spans="1:13" x14ac:dyDescent="0.25">
      <c r="A237" s="1" t="s">
        <v>53</v>
      </c>
      <c r="B237" s="1" t="s">
        <v>17</v>
      </c>
      <c r="C237" s="1" t="s">
        <v>114</v>
      </c>
      <c r="D237">
        <v>2</v>
      </c>
      <c r="E237">
        <v>30</v>
      </c>
      <c r="F237">
        <v>15</v>
      </c>
      <c r="J237" s="1" t="s">
        <v>115</v>
      </c>
      <c r="K237">
        <v>1</v>
      </c>
      <c r="L237">
        <v>0</v>
      </c>
      <c r="M237" t="str">
        <f>IF(tblPenalties[[#This Row],[total_yards]]=0, "Declined", "Accepted")</f>
        <v>Accepted</v>
      </c>
    </row>
    <row r="238" spans="1:13" x14ac:dyDescent="0.25">
      <c r="A238" s="1" t="s">
        <v>54</v>
      </c>
      <c r="B238" s="1" t="s">
        <v>13</v>
      </c>
      <c r="C238" s="1" t="s">
        <v>128</v>
      </c>
      <c r="D238">
        <v>2</v>
      </c>
      <c r="E238">
        <v>30</v>
      </c>
      <c r="F238">
        <v>15</v>
      </c>
      <c r="J238" s="1" t="s">
        <v>115</v>
      </c>
      <c r="K238">
        <v>1</v>
      </c>
      <c r="L238">
        <v>0</v>
      </c>
      <c r="M238" t="str">
        <f>IF(tblPenalties[[#This Row],[total_yards]]=0, "Declined", "Accepted")</f>
        <v>Accepted</v>
      </c>
    </row>
    <row r="239" spans="1:13" x14ac:dyDescent="0.25">
      <c r="A239" s="1" t="s">
        <v>138</v>
      </c>
      <c r="B239" s="1" t="s">
        <v>17</v>
      </c>
      <c r="C239" s="1" t="s">
        <v>114</v>
      </c>
      <c r="D239">
        <v>3</v>
      </c>
      <c r="E239">
        <v>45</v>
      </c>
      <c r="F239">
        <v>15</v>
      </c>
      <c r="J239" s="1" t="s">
        <v>115</v>
      </c>
      <c r="K239">
        <v>1</v>
      </c>
      <c r="L239">
        <v>0</v>
      </c>
      <c r="M239" t="str">
        <f>IF(tblPenalties[[#This Row],[total_yards]]=0, "Declined", "Accepted")</f>
        <v>Accepted</v>
      </c>
    </row>
    <row r="240" spans="1:13" x14ac:dyDescent="0.25">
      <c r="A240" s="1" t="s">
        <v>56</v>
      </c>
      <c r="B240" s="1" t="s">
        <v>40</v>
      </c>
      <c r="C240" s="1" t="s">
        <v>117</v>
      </c>
      <c r="D240">
        <v>4</v>
      </c>
      <c r="E240">
        <v>60</v>
      </c>
      <c r="F240">
        <v>15</v>
      </c>
      <c r="J240" s="1" t="s">
        <v>118</v>
      </c>
      <c r="K240">
        <v>1</v>
      </c>
      <c r="L240">
        <v>0</v>
      </c>
      <c r="M240" t="str">
        <f>IF(tblPenalties[[#This Row],[total_yards]]=0, "Declined", "Accepted")</f>
        <v>Accepted</v>
      </c>
    </row>
    <row r="241" spans="1:13" x14ac:dyDescent="0.25">
      <c r="A241" s="1" t="s">
        <v>56</v>
      </c>
      <c r="B241" s="1" t="s">
        <v>40</v>
      </c>
      <c r="C241" s="1" t="s">
        <v>125</v>
      </c>
      <c r="D241">
        <v>1</v>
      </c>
      <c r="E241">
        <v>15</v>
      </c>
      <c r="F241">
        <v>15</v>
      </c>
      <c r="J241" s="1" t="s">
        <v>115</v>
      </c>
      <c r="K241">
        <v>1</v>
      </c>
      <c r="L241">
        <v>0</v>
      </c>
      <c r="M241" t="str">
        <f>IF(tblPenalties[[#This Row],[total_yards]]=0, "Declined", "Accepted")</f>
        <v>Accepted</v>
      </c>
    </row>
    <row r="242" spans="1:13" x14ac:dyDescent="0.25">
      <c r="A242" s="1" t="s">
        <v>57</v>
      </c>
      <c r="B242" s="1" t="s">
        <v>19</v>
      </c>
      <c r="C242" s="1" t="s">
        <v>122</v>
      </c>
      <c r="D242">
        <v>1</v>
      </c>
      <c r="E242">
        <v>15</v>
      </c>
      <c r="F242">
        <v>15</v>
      </c>
      <c r="J242" s="1" t="s">
        <v>113</v>
      </c>
      <c r="K242">
        <v>1</v>
      </c>
      <c r="L242">
        <v>0</v>
      </c>
      <c r="M242" t="str">
        <f>IF(tblPenalties[[#This Row],[total_yards]]=0, "Declined", "Accepted")</f>
        <v>Accepted</v>
      </c>
    </row>
    <row r="243" spans="1:13" x14ac:dyDescent="0.25">
      <c r="A243" s="1" t="s">
        <v>59</v>
      </c>
      <c r="B243" s="1" t="s">
        <v>40</v>
      </c>
      <c r="C243" s="1" t="s">
        <v>128</v>
      </c>
      <c r="D243">
        <v>1</v>
      </c>
      <c r="E243">
        <v>15</v>
      </c>
      <c r="F243">
        <v>15</v>
      </c>
      <c r="J243" s="1" t="s">
        <v>115</v>
      </c>
      <c r="K243">
        <v>1</v>
      </c>
      <c r="L243">
        <v>0</v>
      </c>
      <c r="M243" t="str">
        <f>IF(tblPenalties[[#This Row],[total_yards]]=0, "Declined", "Accepted")</f>
        <v>Accepted</v>
      </c>
    </row>
    <row r="244" spans="1:13" x14ac:dyDescent="0.25">
      <c r="A244" s="1" t="s">
        <v>60</v>
      </c>
      <c r="B244" s="1" t="s">
        <v>40</v>
      </c>
      <c r="C244" s="1" t="s">
        <v>117</v>
      </c>
      <c r="D244">
        <v>1</v>
      </c>
      <c r="E244">
        <v>15</v>
      </c>
      <c r="F244">
        <v>15</v>
      </c>
      <c r="J244" s="1" t="s">
        <v>118</v>
      </c>
      <c r="K244">
        <v>1</v>
      </c>
      <c r="L244">
        <v>0</v>
      </c>
      <c r="M244" t="str">
        <f>IF(tblPenalties[[#This Row],[total_yards]]=0, "Declined", "Accepted")</f>
        <v>Accepted</v>
      </c>
    </row>
    <row r="245" spans="1:13" x14ac:dyDescent="0.25">
      <c r="A245" s="1" t="s">
        <v>61</v>
      </c>
      <c r="B245" s="1" t="s">
        <v>13</v>
      </c>
      <c r="C245" s="1" t="s">
        <v>128</v>
      </c>
      <c r="D245">
        <v>5</v>
      </c>
      <c r="E245">
        <v>75</v>
      </c>
      <c r="F245">
        <v>15</v>
      </c>
      <c r="J245" s="1" t="s">
        <v>115</v>
      </c>
      <c r="K245">
        <v>1</v>
      </c>
      <c r="L245">
        <v>0</v>
      </c>
      <c r="M245" t="str">
        <f>IF(tblPenalties[[#This Row],[total_yards]]=0, "Declined", "Accepted")</f>
        <v>Accepted</v>
      </c>
    </row>
    <row r="246" spans="1:13" x14ac:dyDescent="0.25">
      <c r="A246" s="1" t="s">
        <v>64</v>
      </c>
      <c r="B246" s="1" t="s">
        <v>52</v>
      </c>
      <c r="C246" s="1" t="s">
        <v>114</v>
      </c>
      <c r="D246">
        <v>1</v>
      </c>
      <c r="E246">
        <v>15</v>
      </c>
      <c r="F246">
        <v>15</v>
      </c>
      <c r="J246" s="1" t="s">
        <v>115</v>
      </c>
      <c r="K246">
        <v>1</v>
      </c>
      <c r="L246">
        <v>0</v>
      </c>
      <c r="M246" t="str">
        <f>IF(tblPenalties[[#This Row],[total_yards]]=0, "Declined", "Accepted")</f>
        <v>Accepted</v>
      </c>
    </row>
    <row r="247" spans="1:13" x14ac:dyDescent="0.25">
      <c r="A247" s="1" t="s">
        <v>66</v>
      </c>
      <c r="B247" s="1" t="s">
        <v>21</v>
      </c>
      <c r="C247" s="1" t="s">
        <v>122</v>
      </c>
      <c r="D247">
        <v>1</v>
      </c>
      <c r="E247">
        <v>15</v>
      </c>
      <c r="F247">
        <v>15</v>
      </c>
      <c r="J247" s="1" t="s">
        <v>113</v>
      </c>
      <c r="K247">
        <v>1</v>
      </c>
      <c r="L247">
        <v>0</v>
      </c>
      <c r="M247" t="str">
        <f>IF(tblPenalties[[#This Row],[total_yards]]=0, "Declined", "Accepted")</f>
        <v>Accepted</v>
      </c>
    </row>
    <row r="248" spans="1:13" x14ac:dyDescent="0.25">
      <c r="A248" s="1" t="s">
        <v>68</v>
      </c>
      <c r="B248" s="1" t="s">
        <v>19</v>
      </c>
      <c r="C248" s="1" t="s">
        <v>114</v>
      </c>
      <c r="D248">
        <v>1</v>
      </c>
      <c r="E248">
        <v>15</v>
      </c>
      <c r="F248">
        <v>15</v>
      </c>
      <c r="J248" s="1" t="s">
        <v>115</v>
      </c>
      <c r="K248">
        <v>1</v>
      </c>
      <c r="L248">
        <v>0</v>
      </c>
      <c r="M248" t="str">
        <f>IF(tblPenalties[[#This Row],[total_yards]]=0, "Declined", "Accepted")</f>
        <v>Accepted</v>
      </c>
    </row>
    <row r="249" spans="1:13" x14ac:dyDescent="0.25">
      <c r="A249" s="1" t="s">
        <v>69</v>
      </c>
      <c r="B249" s="1" t="s">
        <v>40</v>
      </c>
      <c r="C249" s="1" t="s">
        <v>122</v>
      </c>
      <c r="D249">
        <v>2</v>
      </c>
      <c r="E249">
        <v>30</v>
      </c>
      <c r="F249">
        <v>15</v>
      </c>
      <c r="J249" s="1" t="s">
        <v>113</v>
      </c>
      <c r="K249">
        <v>1</v>
      </c>
      <c r="L249">
        <v>0</v>
      </c>
      <c r="M249" t="str">
        <f>IF(tblPenalties[[#This Row],[total_yards]]=0, "Declined", "Accepted")</f>
        <v>Accepted</v>
      </c>
    </row>
    <row r="250" spans="1:13" x14ac:dyDescent="0.25">
      <c r="A250" s="1" t="s">
        <v>69</v>
      </c>
      <c r="B250" s="1" t="s">
        <v>40</v>
      </c>
      <c r="C250" s="1" t="s">
        <v>128</v>
      </c>
      <c r="D250">
        <v>2</v>
      </c>
      <c r="E250">
        <v>30</v>
      </c>
      <c r="F250">
        <v>15</v>
      </c>
      <c r="J250" s="1" t="s">
        <v>115</v>
      </c>
      <c r="K250">
        <v>1</v>
      </c>
      <c r="L250">
        <v>0</v>
      </c>
      <c r="M250" t="str">
        <f>IF(tblPenalties[[#This Row],[total_yards]]=0, "Declined", "Accepted")</f>
        <v>Accepted</v>
      </c>
    </row>
    <row r="251" spans="1:13" x14ac:dyDescent="0.25">
      <c r="A251" s="1" t="s">
        <v>70</v>
      </c>
      <c r="B251" s="1" t="s">
        <v>21</v>
      </c>
      <c r="C251" s="1" t="s">
        <v>128</v>
      </c>
      <c r="D251">
        <v>1</v>
      </c>
      <c r="E251">
        <v>15</v>
      </c>
      <c r="F251">
        <v>15</v>
      </c>
      <c r="J251" s="1" t="s">
        <v>115</v>
      </c>
      <c r="K251">
        <v>1</v>
      </c>
      <c r="L251">
        <v>0</v>
      </c>
      <c r="M251" t="str">
        <f>IF(tblPenalties[[#This Row],[total_yards]]=0, "Declined", "Accepted")</f>
        <v>Accepted</v>
      </c>
    </row>
    <row r="252" spans="1:13" x14ac:dyDescent="0.25">
      <c r="A252" s="1" t="s">
        <v>71</v>
      </c>
      <c r="B252" s="1" t="s">
        <v>34</v>
      </c>
      <c r="C252" s="1" t="s">
        <v>122</v>
      </c>
      <c r="D252">
        <v>1</v>
      </c>
      <c r="E252">
        <v>15</v>
      </c>
      <c r="F252">
        <v>15</v>
      </c>
      <c r="J252" s="1" t="s">
        <v>113</v>
      </c>
      <c r="K252">
        <v>1</v>
      </c>
      <c r="L252">
        <v>0</v>
      </c>
      <c r="M252" t="str">
        <f>IF(tblPenalties[[#This Row],[total_yards]]=0, "Declined", "Accepted")</f>
        <v>Accepted</v>
      </c>
    </row>
    <row r="253" spans="1:13" x14ac:dyDescent="0.25">
      <c r="A253" s="1" t="s">
        <v>121</v>
      </c>
      <c r="B253" s="1" t="s">
        <v>28</v>
      </c>
      <c r="C253" s="1" t="s">
        <v>115</v>
      </c>
      <c r="D253">
        <v>1</v>
      </c>
      <c r="E253">
        <v>15</v>
      </c>
      <c r="F253">
        <v>15</v>
      </c>
      <c r="J253" s="1" t="s">
        <v>115</v>
      </c>
      <c r="K253">
        <v>1</v>
      </c>
      <c r="L253">
        <v>0</v>
      </c>
      <c r="M253" t="str">
        <f>IF(tblPenalties[[#This Row],[total_yards]]=0, "Declined", "Accepted")</f>
        <v>Accepted</v>
      </c>
    </row>
    <row r="254" spans="1:13" x14ac:dyDescent="0.25">
      <c r="A254" s="1" t="s">
        <v>121</v>
      </c>
      <c r="B254" s="1" t="s">
        <v>28</v>
      </c>
      <c r="C254" s="1" t="s">
        <v>125</v>
      </c>
      <c r="D254">
        <v>1</v>
      </c>
      <c r="E254">
        <v>15</v>
      </c>
      <c r="F254">
        <v>15</v>
      </c>
      <c r="J254" s="1" t="s">
        <v>115</v>
      </c>
      <c r="K254">
        <v>1</v>
      </c>
      <c r="L254">
        <v>0</v>
      </c>
      <c r="M254" t="str">
        <f>IF(tblPenalties[[#This Row],[total_yards]]=0, "Declined", "Accepted")</f>
        <v>Accepted</v>
      </c>
    </row>
    <row r="255" spans="1:13" x14ac:dyDescent="0.25">
      <c r="A255" s="1" t="s">
        <v>121</v>
      </c>
      <c r="B255" s="1" t="s">
        <v>28</v>
      </c>
      <c r="C255" s="1" t="s">
        <v>120</v>
      </c>
      <c r="D255">
        <v>1</v>
      </c>
      <c r="E255">
        <v>15</v>
      </c>
      <c r="F255">
        <v>15</v>
      </c>
      <c r="J255" s="1" t="s">
        <v>115</v>
      </c>
      <c r="K255">
        <v>1</v>
      </c>
      <c r="L255">
        <v>0</v>
      </c>
      <c r="M255" t="str">
        <f>IF(tblPenalties[[#This Row],[total_yards]]=0, "Declined", "Accepted")</f>
        <v>Accepted</v>
      </c>
    </row>
    <row r="256" spans="1:13" x14ac:dyDescent="0.25">
      <c r="A256" s="1" t="s">
        <v>72</v>
      </c>
      <c r="B256" s="1" t="s">
        <v>34</v>
      </c>
      <c r="C256" s="1" t="s">
        <v>115</v>
      </c>
      <c r="D256">
        <v>1</v>
      </c>
      <c r="E256">
        <v>15</v>
      </c>
      <c r="F256">
        <v>15</v>
      </c>
      <c r="J256" s="1" t="s">
        <v>115</v>
      </c>
      <c r="K256">
        <v>1</v>
      </c>
      <c r="L256">
        <v>0</v>
      </c>
      <c r="M256" t="str">
        <f>IF(tblPenalties[[#This Row],[total_yards]]=0, "Declined", "Accepted")</f>
        <v>Accepted</v>
      </c>
    </row>
    <row r="257" spans="1:13" x14ac:dyDescent="0.25">
      <c r="A257" s="1" t="s">
        <v>148</v>
      </c>
      <c r="B257" s="1" t="s">
        <v>52</v>
      </c>
      <c r="C257" s="1" t="s">
        <v>122</v>
      </c>
      <c r="D257">
        <v>1</v>
      </c>
      <c r="E257">
        <v>15</v>
      </c>
      <c r="F257">
        <v>15</v>
      </c>
      <c r="J257" s="1" t="s">
        <v>113</v>
      </c>
      <c r="K257">
        <v>1</v>
      </c>
      <c r="L257">
        <v>0</v>
      </c>
      <c r="M257" t="str">
        <f>IF(tblPenalties[[#This Row],[total_yards]]=0, "Declined", "Accepted")</f>
        <v>Accepted</v>
      </c>
    </row>
    <row r="258" spans="1:13" x14ac:dyDescent="0.25">
      <c r="A258" s="1" t="s">
        <v>123</v>
      </c>
      <c r="B258" s="1" t="s">
        <v>26</v>
      </c>
      <c r="C258" s="1" t="s">
        <v>122</v>
      </c>
      <c r="D258">
        <v>1</v>
      </c>
      <c r="E258">
        <v>15</v>
      </c>
      <c r="F258">
        <v>15</v>
      </c>
      <c r="J258" s="1" t="s">
        <v>113</v>
      </c>
      <c r="K258">
        <v>1</v>
      </c>
      <c r="L258">
        <v>0</v>
      </c>
      <c r="M258" t="str">
        <f>IF(tblPenalties[[#This Row],[total_yards]]=0, "Declined", "Accepted")</f>
        <v>Accepted</v>
      </c>
    </row>
    <row r="259" spans="1:13" x14ac:dyDescent="0.25">
      <c r="A259" s="1" t="s">
        <v>74</v>
      </c>
      <c r="B259" s="1" t="s">
        <v>40</v>
      </c>
      <c r="C259" s="1" t="s">
        <v>117</v>
      </c>
      <c r="D259">
        <v>7</v>
      </c>
      <c r="E259">
        <v>105</v>
      </c>
      <c r="F259">
        <v>15</v>
      </c>
      <c r="J259" s="1" t="s">
        <v>118</v>
      </c>
      <c r="K259">
        <v>1</v>
      </c>
      <c r="L259">
        <v>0</v>
      </c>
      <c r="M259" t="str">
        <f>IF(tblPenalties[[#This Row],[total_yards]]=0, "Declined", "Accepted")</f>
        <v>Accepted</v>
      </c>
    </row>
    <row r="260" spans="1:13" x14ac:dyDescent="0.25">
      <c r="A260" s="1" t="s">
        <v>74</v>
      </c>
      <c r="B260" s="1" t="s">
        <v>40</v>
      </c>
      <c r="C260" s="1" t="s">
        <v>114</v>
      </c>
      <c r="D260">
        <v>1</v>
      </c>
      <c r="E260">
        <v>15</v>
      </c>
      <c r="F260">
        <v>15</v>
      </c>
      <c r="J260" s="1" t="s">
        <v>115</v>
      </c>
      <c r="K260">
        <v>1</v>
      </c>
      <c r="L260">
        <v>0</v>
      </c>
      <c r="M260" t="str">
        <f>IF(tblPenalties[[#This Row],[total_yards]]=0, "Declined", "Accepted")</f>
        <v>Accepted</v>
      </c>
    </row>
    <row r="261" spans="1:13" x14ac:dyDescent="0.25">
      <c r="A261" s="1" t="s">
        <v>75</v>
      </c>
      <c r="B261" s="1" t="s">
        <v>13</v>
      </c>
      <c r="C261" s="1" t="s">
        <v>120</v>
      </c>
      <c r="D261">
        <v>2</v>
      </c>
      <c r="E261">
        <v>30</v>
      </c>
      <c r="F261">
        <v>15</v>
      </c>
      <c r="J261" s="1" t="s">
        <v>115</v>
      </c>
      <c r="K261">
        <v>1</v>
      </c>
      <c r="L261">
        <v>0</v>
      </c>
      <c r="M261" t="str">
        <f>IF(tblPenalties[[#This Row],[total_yards]]=0, "Declined", "Accepted")</f>
        <v>Accepted</v>
      </c>
    </row>
    <row r="262" spans="1:13" x14ac:dyDescent="0.25">
      <c r="A262" s="1" t="s">
        <v>76</v>
      </c>
      <c r="B262" s="1" t="s">
        <v>21</v>
      </c>
      <c r="C262" s="1" t="s">
        <v>128</v>
      </c>
      <c r="D262">
        <v>1</v>
      </c>
      <c r="E262">
        <v>15</v>
      </c>
      <c r="F262">
        <v>15</v>
      </c>
      <c r="J262" s="1" t="s">
        <v>115</v>
      </c>
      <c r="K262">
        <v>1</v>
      </c>
      <c r="L262">
        <v>0</v>
      </c>
      <c r="M262" t="str">
        <f>IF(tblPenalties[[#This Row],[total_yards]]=0, "Declined", "Accepted")</f>
        <v>Accepted</v>
      </c>
    </row>
    <row r="263" spans="1:13" x14ac:dyDescent="0.25">
      <c r="A263" s="1" t="s">
        <v>78</v>
      </c>
      <c r="B263" s="1" t="s">
        <v>79</v>
      </c>
      <c r="C263" s="1" t="s">
        <v>128</v>
      </c>
      <c r="D263">
        <v>2</v>
      </c>
      <c r="E263">
        <v>30</v>
      </c>
      <c r="F263">
        <v>15</v>
      </c>
      <c r="J263" s="1" t="s">
        <v>115</v>
      </c>
      <c r="K263">
        <v>1</v>
      </c>
      <c r="L263">
        <v>0</v>
      </c>
      <c r="M263" t="str">
        <f>IF(tblPenalties[[#This Row],[total_yards]]=0, "Declined", "Accepted")</f>
        <v>Accepted</v>
      </c>
    </row>
    <row r="264" spans="1:13" x14ac:dyDescent="0.25">
      <c r="A264" s="1" t="s">
        <v>78</v>
      </c>
      <c r="B264" s="1" t="s">
        <v>79</v>
      </c>
      <c r="C264" s="1" t="s">
        <v>120</v>
      </c>
      <c r="D264">
        <v>1</v>
      </c>
      <c r="E264">
        <v>15</v>
      </c>
      <c r="F264">
        <v>15</v>
      </c>
      <c r="J264" s="1" t="s">
        <v>115</v>
      </c>
      <c r="K264">
        <v>1</v>
      </c>
      <c r="L264">
        <v>0</v>
      </c>
      <c r="M264" t="str">
        <f>IF(tblPenalties[[#This Row],[total_yards]]=0, "Declined", "Accepted")</f>
        <v>Accepted</v>
      </c>
    </row>
    <row r="265" spans="1:13" x14ac:dyDescent="0.25">
      <c r="A265" s="1" t="s">
        <v>80</v>
      </c>
      <c r="B265" s="1" t="s">
        <v>52</v>
      </c>
      <c r="C265" s="1" t="s">
        <v>120</v>
      </c>
      <c r="D265">
        <v>1</v>
      </c>
      <c r="E265">
        <v>15</v>
      </c>
      <c r="F265">
        <v>15</v>
      </c>
      <c r="J265" s="1" t="s">
        <v>115</v>
      </c>
      <c r="K265">
        <v>1</v>
      </c>
      <c r="L265">
        <v>0</v>
      </c>
      <c r="M265" t="str">
        <f>IF(tblPenalties[[#This Row],[total_yards]]=0, "Declined", "Accepted")</f>
        <v>Accepted</v>
      </c>
    </row>
    <row r="266" spans="1:13" x14ac:dyDescent="0.25">
      <c r="A266" s="1" t="s">
        <v>81</v>
      </c>
      <c r="B266" s="1" t="s">
        <v>52</v>
      </c>
      <c r="C266" s="1" t="s">
        <v>114</v>
      </c>
      <c r="D266">
        <v>1</v>
      </c>
      <c r="E266">
        <v>15</v>
      </c>
      <c r="F266">
        <v>15</v>
      </c>
      <c r="J266" s="1" t="s">
        <v>115</v>
      </c>
      <c r="K266">
        <v>1</v>
      </c>
      <c r="L266">
        <v>0</v>
      </c>
      <c r="M266" t="str">
        <f>IF(tblPenalties[[#This Row],[total_yards]]=0, "Declined", "Accepted")</f>
        <v>Accepted</v>
      </c>
    </row>
    <row r="267" spans="1:13" x14ac:dyDescent="0.25">
      <c r="A267" s="1" t="s">
        <v>82</v>
      </c>
      <c r="B267" s="1" t="s">
        <v>34</v>
      </c>
      <c r="C267" s="1" t="s">
        <v>114</v>
      </c>
      <c r="D267">
        <v>2</v>
      </c>
      <c r="E267">
        <v>30</v>
      </c>
      <c r="F267">
        <v>15</v>
      </c>
      <c r="J267" s="1" t="s">
        <v>115</v>
      </c>
      <c r="K267">
        <v>1</v>
      </c>
      <c r="L267">
        <v>0</v>
      </c>
      <c r="M267" t="str">
        <f>IF(tblPenalties[[#This Row],[total_yards]]=0, "Declined", "Accepted")</f>
        <v>Accepted</v>
      </c>
    </row>
    <row r="268" spans="1:13" x14ac:dyDescent="0.25">
      <c r="A268" s="1" t="s">
        <v>84</v>
      </c>
      <c r="B268" s="1" t="s">
        <v>13</v>
      </c>
      <c r="C268" s="1" t="s">
        <v>122</v>
      </c>
      <c r="D268">
        <v>2</v>
      </c>
      <c r="E268">
        <v>30</v>
      </c>
      <c r="F268">
        <v>15</v>
      </c>
      <c r="J268" s="1" t="s">
        <v>113</v>
      </c>
      <c r="K268">
        <v>1</v>
      </c>
      <c r="L268">
        <v>0</v>
      </c>
      <c r="M268" t="str">
        <f>IF(tblPenalties[[#This Row],[total_yards]]=0, "Declined", "Accepted")</f>
        <v>Accepted</v>
      </c>
    </row>
    <row r="269" spans="1:13" x14ac:dyDescent="0.25">
      <c r="A269" s="1" t="s">
        <v>84</v>
      </c>
      <c r="B269" s="1" t="s">
        <v>13</v>
      </c>
      <c r="C269" s="1" t="s">
        <v>128</v>
      </c>
      <c r="D269">
        <v>2</v>
      </c>
      <c r="E269">
        <v>30</v>
      </c>
      <c r="F269">
        <v>15</v>
      </c>
      <c r="J269" s="1" t="s">
        <v>115</v>
      </c>
      <c r="K269">
        <v>1</v>
      </c>
      <c r="L269">
        <v>0</v>
      </c>
      <c r="M269" t="str">
        <f>IF(tblPenalties[[#This Row],[total_yards]]=0, "Declined", "Accepted")</f>
        <v>Accepted</v>
      </c>
    </row>
    <row r="270" spans="1:13" x14ac:dyDescent="0.25">
      <c r="A270" s="1" t="s">
        <v>84</v>
      </c>
      <c r="B270" s="1" t="s">
        <v>13</v>
      </c>
      <c r="C270" s="1" t="s">
        <v>114</v>
      </c>
      <c r="D270">
        <v>1</v>
      </c>
      <c r="E270">
        <v>15</v>
      </c>
      <c r="F270">
        <v>15</v>
      </c>
      <c r="J270" s="1" t="s">
        <v>115</v>
      </c>
      <c r="K270">
        <v>1</v>
      </c>
      <c r="L270">
        <v>0</v>
      </c>
      <c r="M270" t="str">
        <f>IF(tblPenalties[[#This Row],[total_yards]]=0, "Declined", "Accepted")</f>
        <v>Accepted</v>
      </c>
    </row>
    <row r="271" spans="1:13" x14ac:dyDescent="0.25">
      <c r="A271" s="1" t="s">
        <v>86</v>
      </c>
      <c r="B271" s="1" t="s">
        <v>40</v>
      </c>
      <c r="C271" s="1" t="s">
        <v>114</v>
      </c>
      <c r="D271">
        <v>2</v>
      </c>
      <c r="E271">
        <v>30</v>
      </c>
      <c r="F271">
        <v>15</v>
      </c>
      <c r="J271" s="1" t="s">
        <v>115</v>
      </c>
      <c r="K271">
        <v>1</v>
      </c>
      <c r="L271">
        <v>0</v>
      </c>
      <c r="M271" t="str">
        <f>IF(tblPenalties[[#This Row],[total_yards]]=0, "Declined", "Accepted")</f>
        <v>Accepted</v>
      </c>
    </row>
    <row r="272" spans="1:13" x14ac:dyDescent="0.25">
      <c r="A272" s="1" t="s">
        <v>86</v>
      </c>
      <c r="B272" s="1" t="s">
        <v>40</v>
      </c>
      <c r="C272" s="1" t="s">
        <v>120</v>
      </c>
      <c r="D272">
        <v>1</v>
      </c>
      <c r="E272">
        <v>15</v>
      </c>
      <c r="F272">
        <v>15</v>
      </c>
      <c r="J272" s="1" t="s">
        <v>115</v>
      </c>
      <c r="K272">
        <v>1</v>
      </c>
      <c r="L272">
        <v>0</v>
      </c>
      <c r="M272" t="str">
        <f>IF(tblPenalties[[#This Row],[total_yards]]=0, "Declined", "Accepted")</f>
        <v>Accepted</v>
      </c>
    </row>
    <row r="273" spans="1:13" x14ac:dyDescent="0.25">
      <c r="A273" s="1" t="s">
        <v>87</v>
      </c>
      <c r="B273" s="1" t="s">
        <v>26</v>
      </c>
      <c r="C273" s="1" t="s">
        <v>120</v>
      </c>
      <c r="D273">
        <v>1</v>
      </c>
      <c r="E273">
        <v>15</v>
      </c>
      <c r="F273">
        <v>15</v>
      </c>
      <c r="J273" s="1" t="s">
        <v>115</v>
      </c>
      <c r="K273">
        <v>1</v>
      </c>
      <c r="L273">
        <v>0</v>
      </c>
      <c r="M273" t="str">
        <f>IF(tblPenalties[[#This Row],[total_yards]]=0, "Declined", "Accepted")</f>
        <v>Accepted</v>
      </c>
    </row>
    <row r="274" spans="1:13" x14ac:dyDescent="0.25">
      <c r="A274" s="1" t="s">
        <v>87</v>
      </c>
      <c r="B274" s="1" t="s">
        <v>26</v>
      </c>
      <c r="C274" s="1" t="s">
        <v>114</v>
      </c>
      <c r="D274">
        <v>1</v>
      </c>
      <c r="E274">
        <v>15</v>
      </c>
      <c r="F274">
        <v>15</v>
      </c>
      <c r="J274" s="1" t="s">
        <v>115</v>
      </c>
      <c r="K274">
        <v>1</v>
      </c>
      <c r="L274">
        <v>0</v>
      </c>
      <c r="M274" t="str">
        <f>IF(tblPenalties[[#This Row],[total_yards]]=0, "Declined", "Accepted")</f>
        <v>Accepted</v>
      </c>
    </row>
    <row r="275" spans="1:13" x14ac:dyDescent="0.25">
      <c r="A275" s="1" t="s">
        <v>149</v>
      </c>
      <c r="B275" s="1" t="s">
        <v>26</v>
      </c>
      <c r="C275" s="1" t="s">
        <v>125</v>
      </c>
      <c r="D275">
        <v>1</v>
      </c>
      <c r="E275">
        <v>15</v>
      </c>
      <c r="F275">
        <v>15</v>
      </c>
      <c r="J275" s="1" t="s">
        <v>115</v>
      </c>
      <c r="K275">
        <v>1</v>
      </c>
      <c r="L275">
        <v>0</v>
      </c>
      <c r="M275" t="str">
        <f>IF(tblPenalties[[#This Row],[total_yards]]=0, "Declined", "Accepted")</f>
        <v>Accepted</v>
      </c>
    </row>
    <row r="276" spans="1:13" x14ac:dyDescent="0.25">
      <c r="A276" s="1" t="s">
        <v>141</v>
      </c>
      <c r="B276" s="1" t="s">
        <v>28</v>
      </c>
      <c r="C276" s="1" t="s">
        <v>122</v>
      </c>
      <c r="D276">
        <v>1</v>
      </c>
      <c r="E276">
        <v>15</v>
      </c>
      <c r="F276">
        <v>15</v>
      </c>
      <c r="J276" s="1" t="s">
        <v>113</v>
      </c>
      <c r="K276">
        <v>1</v>
      </c>
      <c r="L276">
        <v>0</v>
      </c>
      <c r="M276" t="str">
        <f>IF(tblPenalties[[#This Row],[total_yards]]=0, "Declined", "Accepted")</f>
        <v>Accepted</v>
      </c>
    </row>
    <row r="277" spans="1:13" x14ac:dyDescent="0.25">
      <c r="A277" s="1" t="s">
        <v>141</v>
      </c>
      <c r="B277" s="1" t="s">
        <v>28</v>
      </c>
      <c r="C277" s="1" t="s">
        <v>128</v>
      </c>
      <c r="D277">
        <v>1</v>
      </c>
      <c r="E277">
        <v>15</v>
      </c>
      <c r="F277">
        <v>15</v>
      </c>
      <c r="J277" s="1" t="s">
        <v>115</v>
      </c>
      <c r="K277">
        <v>1</v>
      </c>
      <c r="L277">
        <v>0</v>
      </c>
      <c r="M277" t="str">
        <f>IF(tblPenalties[[#This Row],[total_yards]]=0, "Declined", "Accepted")</f>
        <v>Accepted</v>
      </c>
    </row>
    <row r="278" spans="1:13" x14ac:dyDescent="0.25">
      <c r="A278" s="1" t="s">
        <v>93</v>
      </c>
      <c r="B278" s="1" t="s">
        <v>21</v>
      </c>
      <c r="C278" s="1" t="s">
        <v>128</v>
      </c>
      <c r="D278">
        <v>1</v>
      </c>
      <c r="E278">
        <v>15</v>
      </c>
      <c r="F278">
        <v>15</v>
      </c>
      <c r="J278" s="1" t="s">
        <v>115</v>
      </c>
      <c r="K278">
        <v>1</v>
      </c>
      <c r="L278">
        <v>0</v>
      </c>
      <c r="M278" t="str">
        <f>IF(tblPenalties[[#This Row],[total_yards]]=0, "Declined", "Accepted")</f>
        <v>Accepted</v>
      </c>
    </row>
    <row r="279" spans="1:13" x14ac:dyDescent="0.25">
      <c r="A279" s="1" t="s">
        <v>95</v>
      </c>
      <c r="B279" s="1" t="s">
        <v>34</v>
      </c>
      <c r="C279" s="1" t="s">
        <v>125</v>
      </c>
      <c r="D279">
        <v>1</v>
      </c>
      <c r="E279">
        <v>15</v>
      </c>
      <c r="F279">
        <v>15</v>
      </c>
      <c r="J279" s="1" t="s">
        <v>115</v>
      </c>
      <c r="K279">
        <v>1</v>
      </c>
      <c r="L279">
        <v>0</v>
      </c>
      <c r="M279" t="str">
        <f>IF(tblPenalties[[#This Row],[total_yards]]=0, "Declined", "Accepted")</f>
        <v>Accepted</v>
      </c>
    </row>
    <row r="280" spans="1:13" x14ac:dyDescent="0.25">
      <c r="A280" s="1" t="s">
        <v>98</v>
      </c>
      <c r="B280" s="1" t="s">
        <v>17</v>
      </c>
      <c r="C280" s="1" t="s">
        <v>117</v>
      </c>
      <c r="D280">
        <v>3</v>
      </c>
      <c r="E280">
        <v>45</v>
      </c>
      <c r="F280">
        <v>15</v>
      </c>
      <c r="J280" s="1" t="s">
        <v>118</v>
      </c>
      <c r="K280">
        <v>1</v>
      </c>
      <c r="L280">
        <v>0</v>
      </c>
      <c r="M280" t="str">
        <f>IF(tblPenalties[[#This Row],[total_yards]]=0, "Declined", "Accepted")</f>
        <v>Accepted</v>
      </c>
    </row>
    <row r="281" spans="1:13" x14ac:dyDescent="0.25">
      <c r="A281" s="1" t="s">
        <v>98</v>
      </c>
      <c r="B281" s="1" t="s">
        <v>17</v>
      </c>
      <c r="C281" s="1" t="s">
        <v>128</v>
      </c>
      <c r="D281">
        <v>1</v>
      </c>
      <c r="E281">
        <v>15</v>
      </c>
      <c r="F281">
        <v>15</v>
      </c>
      <c r="J281" s="1" t="s">
        <v>115</v>
      </c>
      <c r="K281">
        <v>1</v>
      </c>
      <c r="L281">
        <v>0</v>
      </c>
      <c r="M281" t="str">
        <f>IF(tblPenalties[[#This Row],[total_yards]]=0, "Declined", "Accepted")</f>
        <v>Accepted</v>
      </c>
    </row>
    <row r="282" spans="1:13" x14ac:dyDescent="0.25">
      <c r="A282" s="1" t="s">
        <v>103</v>
      </c>
      <c r="B282" s="1" t="s">
        <v>34</v>
      </c>
      <c r="C282" s="1" t="s">
        <v>122</v>
      </c>
      <c r="D282">
        <v>1</v>
      </c>
      <c r="E282">
        <v>15</v>
      </c>
      <c r="F282">
        <v>15</v>
      </c>
      <c r="J282" s="1" t="s">
        <v>113</v>
      </c>
      <c r="K282">
        <v>1</v>
      </c>
      <c r="L282">
        <v>0</v>
      </c>
      <c r="M282" t="str">
        <f>IF(tblPenalties[[#This Row],[total_yards]]=0, "Declined", "Accepted")</f>
        <v>Accepted</v>
      </c>
    </row>
    <row r="283" spans="1:13" x14ac:dyDescent="0.25">
      <c r="A283" s="1" t="s">
        <v>104</v>
      </c>
      <c r="B283" s="1" t="s">
        <v>34</v>
      </c>
      <c r="C283" s="1" t="s">
        <v>120</v>
      </c>
      <c r="D283">
        <v>1</v>
      </c>
      <c r="E283">
        <v>15</v>
      </c>
      <c r="F283">
        <v>15</v>
      </c>
      <c r="J283" s="1" t="s">
        <v>115</v>
      </c>
      <c r="K283">
        <v>1</v>
      </c>
      <c r="L283">
        <v>0</v>
      </c>
      <c r="M283" t="str">
        <f>IF(tblPenalties[[#This Row],[total_yards]]=0, "Declined", "Accepted")</f>
        <v>Accepted</v>
      </c>
    </row>
    <row r="284" spans="1:13" x14ac:dyDescent="0.25">
      <c r="A284" s="1" t="s">
        <v>106</v>
      </c>
      <c r="B284" s="1" t="s">
        <v>28</v>
      </c>
      <c r="C284" s="1" t="s">
        <v>128</v>
      </c>
      <c r="D284">
        <v>1</v>
      </c>
      <c r="E284">
        <v>15</v>
      </c>
      <c r="F284">
        <v>15</v>
      </c>
      <c r="J284" s="1" t="s">
        <v>115</v>
      </c>
      <c r="K284">
        <v>1</v>
      </c>
      <c r="L284">
        <v>0</v>
      </c>
      <c r="M284" t="str">
        <f>IF(tblPenalties[[#This Row],[total_yards]]=0, "Declined", "Accepted")</f>
        <v>Accepted</v>
      </c>
    </row>
    <row r="285" spans="1:13" x14ac:dyDescent="0.25">
      <c r="A285" s="1" t="s">
        <v>107</v>
      </c>
      <c r="B285" s="1" t="s">
        <v>21</v>
      </c>
      <c r="C285" s="1" t="s">
        <v>122</v>
      </c>
      <c r="D285">
        <v>1</v>
      </c>
      <c r="E285">
        <v>15</v>
      </c>
      <c r="F285">
        <v>15</v>
      </c>
      <c r="J285" s="1" t="s">
        <v>113</v>
      </c>
      <c r="K285">
        <v>1</v>
      </c>
      <c r="L285">
        <v>0</v>
      </c>
      <c r="M285" t="str">
        <f>IF(tblPenalties[[#This Row],[total_yards]]=0, "Declined", "Accepted")</f>
        <v>Accepted</v>
      </c>
    </row>
    <row r="286" spans="1:13" x14ac:dyDescent="0.25">
      <c r="A286" s="1" t="s">
        <v>132</v>
      </c>
      <c r="B286" s="1" t="s">
        <v>40</v>
      </c>
      <c r="C286" s="1" t="s">
        <v>122</v>
      </c>
      <c r="D286">
        <v>2</v>
      </c>
      <c r="E286">
        <v>30</v>
      </c>
      <c r="F286">
        <v>15</v>
      </c>
      <c r="J286" s="1" t="s">
        <v>113</v>
      </c>
      <c r="K286">
        <v>1</v>
      </c>
      <c r="L286">
        <v>0</v>
      </c>
      <c r="M286" t="str">
        <f>IF(tblPenalties[[#This Row],[total_yards]]=0, "Declined", "Accepted")</f>
        <v>Accepted</v>
      </c>
    </row>
    <row r="287" spans="1:13" x14ac:dyDescent="0.25">
      <c r="A287" s="1" t="s">
        <v>108</v>
      </c>
      <c r="B287" s="1" t="s">
        <v>28</v>
      </c>
      <c r="C287" s="1" t="s">
        <v>117</v>
      </c>
      <c r="D287">
        <v>6</v>
      </c>
      <c r="E287">
        <v>90</v>
      </c>
      <c r="F287">
        <v>15</v>
      </c>
      <c r="J287" s="1" t="s">
        <v>118</v>
      </c>
      <c r="K287">
        <v>1</v>
      </c>
      <c r="L287">
        <v>0</v>
      </c>
      <c r="M287" t="str">
        <f>IF(tblPenalties[[#This Row],[total_yards]]=0, "Declined", "Accepted")</f>
        <v>Accepted</v>
      </c>
    </row>
    <row r="288" spans="1:13" x14ac:dyDescent="0.25">
      <c r="A288" s="1" t="s">
        <v>108</v>
      </c>
      <c r="B288" s="1" t="s">
        <v>28</v>
      </c>
      <c r="C288" s="1" t="s">
        <v>128</v>
      </c>
      <c r="D288">
        <v>2</v>
      </c>
      <c r="E288">
        <v>30</v>
      </c>
      <c r="F288">
        <v>15</v>
      </c>
      <c r="J288" s="1" t="s">
        <v>115</v>
      </c>
      <c r="K288">
        <v>1</v>
      </c>
      <c r="L288">
        <v>0</v>
      </c>
      <c r="M288" t="str">
        <f>IF(tblPenalties[[#This Row],[total_yards]]=0, "Declined", "Accepted")</f>
        <v>Accepted</v>
      </c>
    </row>
    <row r="289" spans="1:13" x14ac:dyDescent="0.25">
      <c r="A289" s="1" t="s">
        <v>109</v>
      </c>
      <c r="B289" s="1" t="s">
        <v>79</v>
      </c>
      <c r="C289" s="1" t="s">
        <v>115</v>
      </c>
      <c r="D289">
        <v>1</v>
      </c>
      <c r="E289">
        <v>15</v>
      </c>
      <c r="F289">
        <v>15</v>
      </c>
      <c r="J289" s="1" t="s">
        <v>115</v>
      </c>
      <c r="K289">
        <v>1</v>
      </c>
      <c r="L289">
        <v>0</v>
      </c>
      <c r="M289" t="str">
        <f>IF(tblPenalties[[#This Row],[total_yards]]=0, "Declined", "Accepted")</f>
        <v>Accepted</v>
      </c>
    </row>
    <row r="290" spans="1:13" x14ac:dyDescent="0.25">
      <c r="A290" s="1" t="s">
        <v>109</v>
      </c>
      <c r="B290" s="1" t="s">
        <v>79</v>
      </c>
      <c r="C290" s="1" t="s">
        <v>128</v>
      </c>
      <c r="D290">
        <v>1</v>
      </c>
      <c r="E290">
        <v>15</v>
      </c>
      <c r="F290">
        <v>15</v>
      </c>
      <c r="J290" s="1" t="s">
        <v>115</v>
      </c>
      <c r="K290">
        <v>1</v>
      </c>
      <c r="L290">
        <v>0</v>
      </c>
      <c r="M290" t="str">
        <f>IF(tblPenalties[[#This Row],[total_yards]]=0, "Declined", "Accepted")</f>
        <v>Accepted</v>
      </c>
    </row>
    <row r="291" spans="1:13" x14ac:dyDescent="0.25">
      <c r="A291" s="1" t="s">
        <v>111</v>
      </c>
      <c r="B291" s="1" t="s">
        <v>52</v>
      </c>
      <c r="C291" s="1" t="s">
        <v>128</v>
      </c>
      <c r="D291">
        <v>1</v>
      </c>
      <c r="E291">
        <v>15</v>
      </c>
      <c r="F291">
        <v>15</v>
      </c>
      <c r="J291" s="1" t="s">
        <v>115</v>
      </c>
      <c r="K291">
        <v>1</v>
      </c>
      <c r="L291">
        <v>0</v>
      </c>
      <c r="M291" t="str">
        <f>IF(tblPenalties[[#This Row],[total_yards]]=0, "Declined", "Accepted")</f>
        <v>Accepted</v>
      </c>
    </row>
    <row r="292" spans="1:13" x14ac:dyDescent="0.25">
      <c r="A292" s="1" t="s">
        <v>111</v>
      </c>
      <c r="B292" s="1" t="s">
        <v>52</v>
      </c>
      <c r="C292" s="1" t="s">
        <v>114</v>
      </c>
      <c r="D292">
        <v>1</v>
      </c>
      <c r="E292">
        <v>15</v>
      </c>
      <c r="F292">
        <v>15</v>
      </c>
      <c r="J292" s="1" t="s">
        <v>115</v>
      </c>
      <c r="K292">
        <v>1</v>
      </c>
      <c r="L292">
        <v>0</v>
      </c>
      <c r="M292" t="str">
        <f>IF(tblPenalties[[#This Row],[total_yards]]=0, "Declined", "Accepted")</f>
        <v>Accepted</v>
      </c>
    </row>
    <row r="293" spans="1:13" x14ac:dyDescent="0.25">
      <c r="A293" s="1" t="s">
        <v>134</v>
      </c>
      <c r="B293" s="1" t="s">
        <v>26</v>
      </c>
      <c r="C293" s="1" t="s">
        <v>117</v>
      </c>
      <c r="D293">
        <v>2</v>
      </c>
      <c r="E293">
        <v>25</v>
      </c>
      <c r="F293">
        <v>12.5</v>
      </c>
      <c r="J293" s="1" t="s">
        <v>118</v>
      </c>
      <c r="K293">
        <v>1</v>
      </c>
      <c r="L293">
        <v>0</v>
      </c>
      <c r="M293" t="str">
        <f>IF(tblPenalties[[#This Row],[total_yards]]=0, "Declined", "Accepted")</f>
        <v>Accepted</v>
      </c>
    </row>
    <row r="294" spans="1:13" x14ac:dyDescent="0.25">
      <c r="A294" s="1" t="s">
        <v>145</v>
      </c>
      <c r="B294" s="1" t="s">
        <v>21</v>
      </c>
      <c r="C294" s="1" t="s">
        <v>117</v>
      </c>
      <c r="D294">
        <v>8</v>
      </c>
      <c r="E294">
        <v>126</v>
      </c>
      <c r="F294">
        <v>15.75</v>
      </c>
      <c r="J294" s="1" t="s">
        <v>118</v>
      </c>
      <c r="K294">
        <v>1</v>
      </c>
      <c r="L294">
        <v>0</v>
      </c>
      <c r="M294" t="str">
        <f>IF(tblPenalties[[#This Row],[total_yards]]=0, "Declined", "Accepted")</f>
        <v>Accepted</v>
      </c>
    </row>
    <row r="295" spans="1:13" x14ac:dyDescent="0.25">
      <c r="A295" s="1" t="s">
        <v>12</v>
      </c>
      <c r="B295" s="1" t="s">
        <v>13</v>
      </c>
      <c r="C295" s="1" t="s">
        <v>117</v>
      </c>
      <c r="D295">
        <v>11</v>
      </c>
      <c r="E295">
        <v>76</v>
      </c>
      <c r="F295">
        <v>6.91</v>
      </c>
      <c r="J295" s="1" t="s">
        <v>118</v>
      </c>
      <c r="K295">
        <v>1</v>
      </c>
      <c r="L295">
        <v>0</v>
      </c>
      <c r="M295" t="str">
        <f>IF(tblPenalties[[#This Row],[total_yards]]=0, "Declined", "Accepted")</f>
        <v>Accepted</v>
      </c>
    </row>
    <row r="296" spans="1:13" x14ac:dyDescent="0.25">
      <c r="A296" s="1" t="s">
        <v>16</v>
      </c>
      <c r="B296" s="1" t="s">
        <v>17</v>
      </c>
      <c r="C296" s="1" t="s">
        <v>117</v>
      </c>
      <c r="D296">
        <v>5</v>
      </c>
      <c r="E296">
        <v>20</v>
      </c>
      <c r="F296">
        <v>4</v>
      </c>
      <c r="J296" s="1" t="s">
        <v>118</v>
      </c>
      <c r="K296">
        <v>1</v>
      </c>
      <c r="L296">
        <v>0</v>
      </c>
      <c r="M296" t="str">
        <f>IF(tblPenalties[[#This Row],[total_yards]]=0, "Declined", "Accepted")</f>
        <v>Accepted</v>
      </c>
    </row>
    <row r="297" spans="1:13" x14ac:dyDescent="0.25">
      <c r="A297" s="1" t="s">
        <v>135</v>
      </c>
      <c r="B297" s="1" t="s">
        <v>17</v>
      </c>
      <c r="C297" s="1" t="s">
        <v>117</v>
      </c>
      <c r="D297">
        <v>12</v>
      </c>
      <c r="E297">
        <v>110</v>
      </c>
      <c r="F297">
        <v>9.17</v>
      </c>
      <c r="J297" s="1" t="s">
        <v>118</v>
      </c>
      <c r="K297">
        <v>1</v>
      </c>
      <c r="L297">
        <v>0</v>
      </c>
      <c r="M297" t="str">
        <f>IF(tblPenalties[[#This Row],[total_yards]]=0, "Declined", "Accepted")</f>
        <v>Accepted</v>
      </c>
    </row>
    <row r="298" spans="1:13" x14ac:dyDescent="0.25">
      <c r="A298" s="1" t="s">
        <v>18</v>
      </c>
      <c r="B298" s="1" t="s">
        <v>19</v>
      </c>
      <c r="C298" s="1" t="s">
        <v>117</v>
      </c>
      <c r="D298">
        <v>4</v>
      </c>
      <c r="E298">
        <v>48</v>
      </c>
      <c r="F298">
        <v>12</v>
      </c>
      <c r="J298" s="1" t="s">
        <v>118</v>
      </c>
      <c r="K298">
        <v>1</v>
      </c>
      <c r="L298">
        <v>0</v>
      </c>
      <c r="M298" t="str">
        <f>IF(tblPenalties[[#This Row],[total_yards]]=0, "Declined", "Accepted")</f>
        <v>Accepted</v>
      </c>
    </row>
    <row r="299" spans="1:13" x14ac:dyDescent="0.25">
      <c r="A299" s="1" t="s">
        <v>124</v>
      </c>
      <c r="B299" s="1" t="s">
        <v>13</v>
      </c>
      <c r="C299" s="1" t="s">
        <v>117</v>
      </c>
      <c r="D299">
        <v>23</v>
      </c>
      <c r="E299">
        <v>117</v>
      </c>
      <c r="F299">
        <v>5.09</v>
      </c>
      <c r="J299" s="1" t="s">
        <v>118</v>
      </c>
      <c r="K299">
        <v>1</v>
      </c>
      <c r="L299">
        <v>0</v>
      </c>
      <c r="M299" t="str">
        <f>IF(tblPenalties[[#This Row],[total_yards]]=0, "Declined", "Accepted")</f>
        <v>Accepted</v>
      </c>
    </row>
    <row r="300" spans="1:13" x14ac:dyDescent="0.25">
      <c r="A300" s="1" t="s">
        <v>146</v>
      </c>
      <c r="B300" s="1" t="s">
        <v>34</v>
      </c>
      <c r="C300" s="1" t="s">
        <v>117</v>
      </c>
      <c r="D300">
        <v>5</v>
      </c>
      <c r="E300">
        <v>68</v>
      </c>
      <c r="F300">
        <v>13.6</v>
      </c>
      <c r="J300" s="1" t="s">
        <v>118</v>
      </c>
      <c r="K300">
        <v>1</v>
      </c>
      <c r="L300">
        <v>0</v>
      </c>
      <c r="M300" t="str">
        <f>IF(tblPenalties[[#This Row],[total_yards]]=0, "Declined", "Accepted")</f>
        <v>Accepted</v>
      </c>
    </row>
    <row r="301" spans="1:13" x14ac:dyDescent="0.25">
      <c r="A301" s="1" t="s">
        <v>126</v>
      </c>
      <c r="B301" s="1" t="s">
        <v>19</v>
      </c>
      <c r="C301" s="1" t="s">
        <v>117</v>
      </c>
      <c r="D301">
        <v>8</v>
      </c>
      <c r="E301">
        <v>46</v>
      </c>
      <c r="F301">
        <v>5.75</v>
      </c>
      <c r="J301" s="1" t="s">
        <v>118</v>
      </c>
      <c r="K301">
        <v>1</v>
      </c>
      <c r="L301">
        <v>0</v>
      </c>
      <c r="M301" t="str">
        <f>IF(tblPenalties[[#This Row],[total_yards]]=0, "Declined", "Accepted")</f>
        <v>Accepted</v>
      </c>
    </row>
    <row r="302" spans="1:13" x14ac:dyDescent="0.25">
      <c r="A302" s="1" t="s">
        <v>20</v>
      </c>
      <c r="B302" s="1" t="s">
        <v>21</v>
      </c>
      <c r="C302" s="1" t="s">
        <v>117</v>
      </c>
      <c r="D302">
        <v>6</v>
      </c>
      <c r="E302">
        <v>80</v>
      </c>
      <c r="F302">
        <v>13.33</v>
      </c>
      <c r="J302" s="1" t="s">
        <v>118</v>
      </c>
      <c r="K302">
        <v>1</v>
      </c>
      <c r="L302">
        <v>0</v>
      </c>
      <c r="M302" t="str">
        <f>IF(tblPenalties[[#This Row],[total_yards]]=0, "Declined", "Accepted")</f>
        <v>Accepted</v>
      </c>
    </row>
    <row r="303" spans="1:13" x14ac:dyDescent="0.25">
      <c r="A303" s="1" t="s">
        <v>24</v>
      </c>
      <c r="B303" s="1" t="s">
        <v>17</v>
      </c>
      <c r="C303" s="1" t="s">
        <v>117</v>
      </c>
      <c r="D303">
        <v>19</v>
      </c>
      <c r="E303">
        <v>166</v>
      </c>
      <c r="F303">
        <v>8.74</v>
      </c>
      <c r="J303" s="1" t="s">
        <v>118</v>
      </c>
      <c r="K303">
        <v>1</v>
      </c>
      <c r="L303">
        <v>0</v>
      </c>
      <c r="M303" t="str">
        <f>IF(tblPenalties[[#This Row],[total_yards]]=0, "Declined", "Accepted")</f>
        <v>Accepted</v>
      </c>
    </row>
    <row r="304" spans="1:13" x14ac:dyDescent="0.25">
      <c r="A304" s="1" t="s">
        <v>25</v>
      </c>
      <c r="B304" s="1" t="s">
        <v>26</v>
      </c>
      <c r="C304" s="1" t="s">
        <v>117</v>
      </c>
      <c r="D304">
        <v>7</v>
      </c>
      <c r="E304">
        <v>73</v>
      </c>
      <c r="F304">
        <v>10.43</v>
      </c>
      <c r="J304" s="1" t="s">
        <v>118</v>
      </c>
      <c r="K304">
        <v>1</v>
      </c>
      <c r="L304">
        <v>0</v>
      </c>
      <c r="M304" t="str">
        <f>IF(tblPenalties[[#This Row],[total_yards]]=0, "Declined", "Accepted")</f>
        <v>Accepted</v>
      </c>
    </row>
    <row r="305" spans="1:13" x14ac:dyDescent="0.25">
      <c r="A305" s="1" t="s">
        <v>29</v>
      </c>
      <c r="B305" s="1" t="s">
        <v>21</v>
      </c>
      <c r="C305" s="1" t="s">
        <v>117</v>
      </c>
      <c r="D305">
        <v>8</v>
      </c>
      <c r="E305">
        <v>111</v>
      </c>
      <c r="F305">
        <v>13.88</v>
      </c>
      <c r="J305" s="1" t="s">
        <v>118</v>
      </c>
      <c r="K305">
        <v>1</v>
      </c>
      <c r="L305">
        <v>0</v>
      </c>
      <c r="M305" t="str">
        <f>IF(tblPenalties[[#This Row],[total_yards]]=0, "Declined", "Accepted")</f>
        <v>Accepted</v>
      </c>
    </row>
    <row r="306" spans="1:13" x14ac:dyDescent="0.25">
      <c r="A306" s="1" t="s">
        <v>30</v>
      </c>
      <c r="B306" s="1" t="s">
        <v>21</v>
      </c>
      <c r="C306" s="1" t="s">
        <v>117</v>
      </c>
      <c r="D306">
        <v>10</v>
      </c>
      <c r="E306">
        <v>103</v>
      </c>
      <c r="F306">
        <v>10.3</v>
      </c>
      <c r="J306" s="1" t="s">
        <v>118</v>
      </c>
      <c r="K306">
        <v>1</v>
      </c>
      <c r="L306">
        <v>0</v>
      </c>
      <c r="M306" t="str">
        <f>IF(tblPenalties[[#This Row],[total_yards]]=0, "Declined", "Accepted")</f>
        <v>Accepted</v>
      </c>
    </row>
    <row r="307" spans="1:13" x14ac:dyDescent="0.25">
      <c r="A307" s="1" t="s">
        <v>136</v>
      </c>
      <c r="B307" s="1" t="s">
        <v>21</v>
      </c>
      <c r="C307" s="1" t="s">
        <v>117</v>
      </c>
      <c r="D307">
        <v>1</v>
      </c>
      <c r="E307">
        <v>8</v>
      </c>
      <c r="F307">
        <v>8</v>
      </c>
      <c r="J307" s="1" t="s">
        <v>118</v>
      </c>
      <c r="K307">
        <v>1</v>
      </c>
      <c r="L307">
        <v>0</v>
      </c>
      <c r="M307" t="str">
        <f>IF(tblPenalties[[#This Row],[total_yards]]=0, "Declined", "Accepted")</f>
        <v>Accepted</v>
      </c>
    </row>
    <row r="308" spans="1:13" x14ac:dyDescent="0.25">
      <c r="A308" s="1" t="s">
        <v>32</v>
      </c>
      <c r="B308" s="1" t="s">
        <v>28</v>
      </c>
      <c r="C308" s="1" t="s">
        <v>117</v>
      </c>
      <c r="D308">
        <v>10</v>
      </c>
      <c r="E308">
        <v>90</v>
      </c>
      <c r="F308">
        <v>9</v>
      </c>
      <c r="J308" s="1" t="s">
        <v>118</v>
      </c>
      <c r="K308">
        <v>1</v>
      </c>
      <c r="L308">
        <v>0</v>
      </c>
      <c r="M308" t="str">
        <f>IF(tblPenalties[[#This Row],[total_yards]]=0, "Declined", "Accepted")</f>
        <v>Accepted</v>
      </c>
    </row>
    <row r="309" spans="1:13" x14ac:dyDescent="0.25">
      <c r="A309" s="1" t="s">
        <v>33</v>
      </c>
      <c r="B309" s="1" t="s">
        <v>34</v>
      </c>
      <c r="C309" s="1" t="s">
        <v>117</v>
      </c>
      <c r="D309">
        <v>6</v>
      </c>
      <c r="E309">
        <v>70</v>
      </c>
      <c r="F309">
        <v>11.67</v>
      </c>
      <c r="J309" s="1" t="s">
        <v>118</v>
      </c>
      <c r="K309">
        <v>1</v>
      </c>
      <c r="L309">
        <v>0</v>
      </c>
      <c r="M309" t="str">
        <f>IF(tblPenalties[[#This Row],[total_yards]]=0, "Declined", "Accepted")</f>
        <v>Accepted</v>
      </c>
    </row>
    <row r="310" spans="1:13" x14ac:dyDescent="0.25">
      <c r="A310" s="1" t="s">
        <v>35</v>
      </c>
      <c r="B310" s="1" t="s">
        <v>28</v>
      </c>
      <c r="C310" s="1" t="s">
        <v>117</v>
      </c>
      <c r="D310">
        <v>9</v>
      </c>
      <c r="E310">
        <v>74</v>
      </c>
      <c r="F310">
        <v>8.2200000000000006</v>
      </c>
      <c r="J310" s="1" t="s">
        <v>118</v>
      </c>
      <c r="K310">
        <v>1</v>
      </c>
      <c r="L310">
        <v>0</v>
      </c>
      <c r="M310" t="str">
        <f>IF(tblPenalties[[#This Row],[total_yards]]=0, "Declined", "Accepted")</f>
        <v>Accepted</v>
      </c>
    </row>
    <row r="311" spans="1:13" x14ac:dyDescent="0.25">
      <c r="A311" s="1" t="s">
        <v>36</v>
      </c>
      <c r="B311" s="1" t="s">
        <v>13</v>
      </c>
      <c r="C311" s="1" t="s">
        <v>117</v>
      </c>
      <c r="D311">
        <v>5</v>
      </c>
      <c r="E311">
        <v>66</v>
      </c>
      <c r="F311">
        <v>13.2</v>
      </c>
      <c r="J311" s="1" t="s">
        <v>118</v>
      </c>
      <c r="K311">
        <v>1</v>
      </c>
      <c r="L311">
        <v>0</v>
      </c>
      <c r="M311" t="str">
        <f>IF(tblPenalties[[#This Row],[total_yards]]=0, "Declined", "Accepted")</f>
        <v>Accepted</v>
      </c>
    </row>
    <row r="312" spans="1:13" x14ac:dyDescent="0.25">
      <c r="A312" s="1" t="s">
        <v>37</v>
      </c>
      <c r="B312" s="1" t="s">
        <v>17</v>
      </c>
      <c r="C312" s="1" t="s">
        <v>117</v>
      </c>
      <c r="D312">
        <v>7</v>
      </c>
      <c r="E312">
        <v>90</v>
      </c>
      <c r="F312">
        <v>12.86</v>
      </c>
      <c r="J312" s="1" t="s">
        <v>118</v>
      </c>
      <c r="K312">
        <v>1</v>
      </c>
      <c r="L312">
        <v>0</v>
      </c>
      <c r="M312" t="str">
        <f>IF(tblPenalties[[#This Row],[total_yards]]=0, "Declined", "Accepted")</f>
        <v>Accepted</v>
      </c>
    </row>
    <row r="313" spans="1:13" x14ac:dyDescent="0.25">
      <c r="A313" s="1" t="s">
        <v>38</v>
      </c>
      <c r="B313" s="1" t="s">
        <v>26</v>
      </c>
      <c r="C313" s="1" t="s">
        <v>117</v>
      </c>
      <c r="D313">
        <v>9</v>
      </c>
      <c r="E313">
        <v>104</v>
      </c>
      <c r="F313">
        <v>11.56</v>
      </c>
      <c r="J313" s="1" t="s">
        <v>118</v>
      </c>
      <c r="K313">
        <v>1</v>
      </c>
      <c r="L313">
        <v>0</v>
      </c>
      <c r="M313" t="str">
        <f>IF(tblPenalties[[#This Row],[total_yards]]=0, "Declined", "Accepted")</f>
        <v>Accepted</v>
      </c>
    </row>
    <row r="314" spans="1:13" x14ac:dyDescent="0.25">
      <c r="A314" s="1" t="s">
        <v>39</v>
      </c>
      <c r="B314" s="1" t="s">
        <v>40</v>
      </c>
      <c r="C314" s="1" t="s">
        <v>117</v>
      </c>
      <c r="D314">
        <v>11</v>
      </c>
      <c r="E314">
        <v>114</v>
      </c>
      <c r="F314">
        <v>10.36</v>
      </c>
      <c r="J314" s="1" t="s">
        <v>118</v>
      </c>
      <c r="K314">
        <v>1</v>
      </c>
      <c r="L314">
        <v>0</v>
      </c>
      <c r="M314" t="str">
        <f>IF(tblPenalties[[#This Row],[total_yards]]=0, "Declined", "Accepted")</f>
        <v>Accepted</v>
      </c>
    </row>
    <row r="315" spans="1:13" x14ac:dyDescent="0.25">
      <c r="A315" s="1" t="s">
        <v>137</v>
      </c>
      <c r="B315" s="1" t="s">
        <v>28</v>
      </c>
      <c r="C315" s="1" t="s">
        <v>117</v>
      </c>
      <c r="D315">
        <v>14</v>
      </c>
      <c r="E315">
        <v>145</v>
      </c>
      <c r="F315">
        <v>10.36</v>
      </c>
      <c r="J315" s="1" t="s">
        <v>118</v>
      </c>
      <c r="K315">
        <v>1</v>
      </c>
      <c r="L315">
        <v>0</v>
      </c>
      <c r="M315" t="str">
        <f>IF(tblPenalties[[#This Row],[total_yards]]=0, "Declined", "Accepted")</f>
        <v>Accepted</v>
      </c>
    </row>
    <row r="316" spans="1:13" x14ac:dyDescent="0.25">
      <c r="A316" s="1" t="s">
        <v>41</v>
      </c>
      <c r="B316" s="1" t="s">
        <v>21</v>
      </c>
      <c r="C316" s="1" t="s">
        <v>117</v>
      </c>
      <c r="D316">
        <v>12</v>
      </c>
      <c r="E316">
        <v>203</v>
      </c>
      <c r="F316">
        <v>16.920000000000002</v>
      </c>
      <c r="J316" s="1" t="s">
        <v>118</v>
      </c>
      <c r="K316">
        <v>1</v>
      </c>
      <c r="L316">
        <v>0</v>
      </c>
      <c r="M316" t="str">
        <f>IF(tblPenalties[[#This Row],[total_yards]]=0, "Declined", "Accepted")</f>
        <v>Accepted</v>
      </c>
    </row>
    <row r="317" spans="1:13" x14ac:dyDescent="0.25">
      <c r="A317" s="1" t="s">
        <v>127</v>
      </c>
      <c r="B317" s="1" t="s">
        <v>34</v>
      </c>
      <c r="C317" s="1" t="s">
        <v>117</v>
      </c>
      <c r="D317">
        <v>6</v>
      </c>
      <c r="E317">
        <v>67</v>
      </c>
      <c r="F317">
        <v>11.17</v>
      </c>
      <c r="J317" s="1" t="s">
        <v>118</v>
      </c>
      <c r="K317">
        <v>1</v>
      </c>
      <c r="L317">
        <v>0</v>
      </c>
      <c r="M317" t="str">
        <f>IF(tblPenalties[[#This Row],[total_yards]]=0, "Declined", "Accepted")</f>
        <v>Accepted</v>
      </c>
    </row>
    <row r="318" spans="1:13" x14ac:dyDescent="0.25">
      <c r="A318" s="1" t="s">
        <v>42</v>
      </c>
      <c r="B318" s="1" t="s">
        <v>34</v>
      </c>
      <c r="C318" s="1" t="s">
        <v>117</v>
      </c>
      <c r="D318">
        <v>8</v>
      </c>
      <c r="E318">
        <v>89</v>
      </c>
      <c r="F318">
        <v>11.12</v>
      </c>
      <c r="J318" s="1" t="s">
        <v>118</v>
      </c>
      <c r="K318">
        <v>1</v>
      </c>
      <c r="L318">
        <v>0</v>
      </c>
      <c r="M318" t="str">
        <f>IF(tblPenalties[[#This Row],[total_yards]]=0, "Declined", "Accepted")</f>
        <v>Accepted</v>
      </c>
    </row>
    <row r="319" spans="1:13" x14ac:dyDescent="0.25">
      <c r="A319" s="1" t="s">
        <v>43</v>
      </c>
      <c r="B319" s="1" t="s">
        <v>40</v>
      </c>
      <c r="C319" s="1" t="s">
        <v>117</v>
      </c>
      <c r="D319">
        <v>2</v>
      </c>
      <c r="E319">
        <v>18</v>
      </c>
      <c r="F319">
        <v>9</v>
      </c>
      <c r="J319" s="1" t="s">
        <v>118</v>
      </c>
      <c r="K319">
        <v>1</v>
      </c>
      <c r="L319">
        <v>0</v>
      </c>
      <c r="M319" t="str">
        <f>IF(tblPenalties[[#This Row],[total_yards]]=0, "Declined", "Accepted")</f>
        <v>Accepted</v>
      </c>
    </row>
    <row r="320" spans="1:13" x14ac:dyDescent="0.25">
      <c r="A320" s="1" t="s">
        <v>44</v>
      </c>
      <c r="B320" s="1" t="s">
        <v>19</v>
      </c>
      <c r="C320" s="1" t="s">
        <v>117</v>
      </c>
      <c r="D320">
        <v>6</v>
      </c>
      <c r="E320">
        <v>71</v>
      </c>
      <c r="F320">
        <v>11.83</v>
      </c>
      <c r="J320" s="1" t="s">
        <v>118</v>
      </c>
      <c r="K320">
        <v>1</v>
      </c>
      <c r="L320">
        <v>0</v>
      </c>
      <c r="M320" t="str">
        <f>IF(tblPenalties[[#This Row],[total_yards]]=0, "Declined", "Accepted")</f>
        <v>Accepted</v>
      </c>
    </row>
    <row r="321" spans="1:13" x14ac:dyDescent="0.25">
      <c r="A321" s="1" t="s">
        <v>45</v>
      </c>
      <c r="B321" s="1" t="s">
        <v>28</v>
      </c>
      <c r="C321" s="1" t="s">
        <v>117</v>
      </c>
      <c r="D321">
        <v>8</v>
      </c>
      <c r="E321">
        <v>99</v>
      </c>
      <c r="F321">
        <v>12.38</v>
      </c>
      <c r="J321" s="1" t="s">
        <v>118</v>
      </c>
      <c r="K321">
        <v>1</v>
      </c>
      <c r="L321">
        <v>0</v>
      </c>
      <c r="M321" t="str">
        <f>IF(tblPenalties[[#This Row],[total_yards]]=0, "Declined", "Accepted")</f>
        <v>Accepted</v>
      </c>
    </row>
    <row r="322" spans="1:13" x14ac:dyDescent="0.25">
      <c r="A322" s="1" t="s">
        <v>46</v>
      </c>
      <c r="B322" s="1" t="s">
        <v>26</v>
      </c>
      <c r="C322" s="1" t="s">
        <v>117</v>
      </c>
      <c r="D322">
        <v>4</v>
      </c>
      <c r="E322">
        <v>56</v>
      </c>
      <c r="F322">
        <v>14</v>
      </c>
      <c r="J322" s="1" t="s">
        <v>118</v>
      </c>
      <c r="K322">
        <v>1</v>
      </c>
      <c r="L322">
        <v>0</v>
      </c>
      <c r="M322" t="str">
        <f>IF(tblPenalties[[#This Row],[total_yards]]=0, "Declined", "Accepted")</f>
        <v>Accepted</v>
      </c>
    </row>
    <row r="323" spans="1:13" x14ac:dyDescent="0.25">
      <c r="A323" s="1" t="s">
        <v>47</v>
      </c>
      <c r="B323" s="1" t="s">
        <v>13</v>
      </c>
      <c r="C323" s="1" t="s">
        <v>117</v>
      </c>
      <c r="D323">
        <v>6</v>
      </c>
      <c r="E323">
        <v>71</v>
      </c>
      <c r="F323">
        <v>11.83</v>
      </c>
      <c r="J323" s="1" t="s">
        <v>118</v>
      </c>
      <c r="K323">
        <v>1</v>
      </c>
      <c r="L323">
        <v>0</v>
      </c>
      <c r="M323" t="str">
        <f>IF(tblPenalties[[#This Row],[total_yards]]=0, "Declined", "Accepted")</f>
        <v>Accepted</v>
      </c>
    </row>
    <row r="324" spans="1:13" x14ac:dyDescent="0.25">
      <c r="A324" s="1" t="s">
        <v>147</v>
      </c>
      <c r="B324" s="1" t="s">
        <v>13</v>
      </c>
      <c r="C324" s="1" t="s">
        <v>117</v>
      </c>
      <c r="D324">
        <v>5</v>
      </c>
      <c r="E324">
        <v>82</v>
      </c>
      <c r="F324">
        <v>16.399999999999999</v>
      </c>
      <c r="J324" s="1" t="s">
        <v>118</v>
      </c>
      <c r="K324">
        <v>1</v>
      </c>
      <c r="L324">
        <v>0</v>
      </c>
      <c r="M324" t="str">
        <f>IF(tblPenalties[[#This Row],[total_yards]]=0, "Declined", "Accepted")</f>
        <v>Accepted</v>
      </c>
    </row>
    <row r="325" spans="1:13" x14ac:dyDescent="0.25">
      <c r="A325" s="1" t="s">
        <v>48</v>
      </c>
      <c r="B325" s="1" t="s">
        <v>26</v>
      </c>
      <c r="C325" s="1" t="s">
        <v>117</v>
      </c>
      <c r="D325">
        <v>9</v>
      </c>
      <c r="E325">
        <v>103</v>
      </c>
      <c r="F325">
        <v>11.44</v>
      </c>
      <c r="J325" s="1" t="s">
        <v>118</v>
      </c>
      <c r="K325">
        <v>1</v>
      </c>
      <c r="L325">
        <v>0</v>
      </c>
      <c r="M325" t="str">
        <f>IF(tblPenalties[[#This Row],[total_yards]]=0, "Declined", "Accepted")</f>
        <v>Accepted</v>
      </c>
    </row>
    <row r="326" spans="1:13" x14ac:dyDescent="0.25">
      <c r="A326" s="1" t="s">
        <v>50</v>
      </c>
      <c r="B326" s="1" t="s">
        <v>17</v>
      </c>
      <c r="C326" s="1" t="s">
        <v>117</v>
      </c>
      <c r="D326">
        <v>15</v>
      </c>
      <c r="E326">
        <v>68</v>
      </c>
      <c r="F326">
        <v>4.53</v>
      </c>
      <c r="J326" s="1" t="s">
        <v>118</v>
      </c>
      <c r="K326">
        <v>1</v>
      </c>
      <c r="L326">
        <v>0</v>
      </c>
      <c r="M326" t="str">
        <f>IF(tblPenalties[[#This Row],[total_yards]]=0, "Declined", "Accepted")</f>
        <v>Accepted</v>
      </c>
    </row>
    <row r="327" spans="1:13" x14ac:dyDescent="0.25">
      <c r="A327" s="1" t="s">
        <v>51</v>
      </c>
      <c r="B327" s="1" t="s">
        <v>52</v>
      </c>
      <c r="C327" s="1" t="s">
        <v>117</v>
      </c>
      <c r="D327">
        <v>13</v>
      </c>
      <c r="E327">
        <v>172</v>
      </c>
      <c r="F327">
        <v>13.23</v>
      </c>
      <c r="J327" s="1" t="s">
        <v>118</v>
      </c>
      <c r="K327">
        <v>1</v>
      </c>
      <c r="L327">
        <v>0</v>
      </c>
      <c r="M327" t="str">
        <f>IF(tblPenalties[[#This Row],[total_yards]]=0, "Declined", "Accepted")</f>
        <v>Accepted</v>
      </c>
    </row>
    <row r="328" spans="1:13" x14ac:dyDescent="0.25">
      <c r="A328" s="1" t="s">
        <v>53</v>
      </c>
      <c r="B328" s="1" t="s">
        <v>17</v>
      </c>
      <c r="C328" s="1" t="s">
        <v>117</v>
      </c>
      <c r="D328">
        <v>12</v>
      </c>
      <c r="E328">
        <v>157</v>
      </c>
      <c r="F328">
        <v>13.08</v>
      </c>
      <c r="J328" s="1" t="s">
        <v>118</v>
      </c>
      <c r="K328">
        <v>1</v>
      </c>
      <c r="L328">
        <v>0</v>
      </c>
      <c r="M328" t="str">
        <f>IF(tblPenalties[[#This Row],[total_yards]]=0, "Declined", "Accepted")</f>
        <v>Accepted</v>
      </c>
    </row>
    <row r="329" spans="1:13" x14ac:dyDescent="0.25">
      <c r="A329" s="1" t="s">
        <v>54</v>
      </c>
      <c r="B329" s="1" t="s">
        <v>13</v>
      </c>
      <c r="C329" s="1" t="s">
        <v>117</v>
      </c>
      <c r="D329">
        <v>6</v>
      </c>
      <c r="E329">
        <v>57</v>
      </c>
      <c r="F329">
        <v>9.5</v>
      </c>
      <c r="J329" s="1" t="s">
        <v>118</v>
      </c>
      <c r="K329">
        <v>1</v>
      </c>
      <c r="L329">
        <v>0</v>
      </c>
      <c r="M329" t="str">
        <f>IF(tblPenalties[[#This Row],[total_yards]]=0, "Declined", "Accepted")</f>
        <v>Accepted</v>
      </c>
    </row>
    <row r="330" spans="1:13" x14ac:dyDescent="0.25">
      <c r="A330" s="1" t="s">
        <v>55</v>
      </c>
      <c r="B330" s="1" t="s">
        <v>40</v>
      </c>
      <c r="C330" s="1" t="s">
        <v>117</v>
      </c>
      <c r="D330">
        <v>5</v>
      </c>
      <c r="E330">
        <v>43</v>
      </c>
      <c r="F330">
        <v>8.6</v>
      </c>
      <c r="J330" s="1" t="s">
        <v>118</v>
      </c>
      <c r="K330">
        <v>1</v>
      </c>
      <c r="L330">
        <v>0</v>
      </c>
      <c r="M330" t="str">
        <f>IF(tblPenalties[[#This Row],[total_yards]]=0, "Declined", "Accepted")</f>
        <v>Accepted</v>
      </c>
    </row>
    <row r="331" spans="1:13" x14ac:dyDescent="0.25">
      <c r="A331" s="1" t="s">
        <v>138</v>
      </c>
      <c r="B331" s="1" t="s">
        <v>17</v>
      </c>
      <c r="C331" s="1" t="s">
        <v>117</v>
      </c>
      <c r="D331">
        <v>4</v>
      </c>
      <c r="E331">
        <v>21</v>
      </c>
      <c r="F331">
        <v>5.25</v>
      </c>
      <c r="J331" s="1" t="s">
        <v>118</v>
      </c>
      <c r="K331">
        <v>1</v>
      </c>
      <c r="L331">
        <v>0</v>
      </c>
      <c r="M331" t="str">
        <f>IF(tblPenalties[[#This Row],[total_yards]]=0, "Declined", "Accepted")</f>
        <v>Accepted</v>
      </c>
    </row>
    <row r="332" spans="1:13" x14ac:dyDescent="0.25">
      <c r="A332" s="1" t="s">
        <v>139</v>
      </c>
      <c r="B332" s="1" t="s">
        <v>17</v>
      </c>
      <c r="C332" s="1" t="s">
        <v>117</v>
      </c>
      <c r="D332">
        <v>3</v>
      </c>
      <c r="E332">
        <v>39</v>
      </c>
      <c r="F332">
        <v>13</v>
      </c>
      <c r="J332" s="1" t="s">
        <v>118</v>
      </c>
      <c r="K332">
        <v>1</v>
      </c>
      <c r="L332">
        <v>0</v>
      </c>
      <c r="M332" t="str">
        <f>IF(tblPenalties[[#This Row],[total_yards]]=0, "Declined", "Accepted")</f>
        <v>Accepted</v>
      </c>
    </row>
    <row r="333" spans="1:13" x14ac:dyDescent="0.25">
      <c r="A333" s="1" t="s">
        <v>57</v>
      </c>
      <c r="B333" s="1" t="s">
        <v>19</v>
      </c>
      <c r="C333" s="1" t="s">
        <v>117</v>
      </c>
      <c r="D333">
        <v>10</v>
      </c>
      <c r="E333">
        <v>127</v>
      </c>
      <c r="F333">
        <v>12.7</v>
      </c>
      <c r="J333" s="1" t="s">
        <v>118</v>
      </c>
      <c r="K333">
        <v>1</v>
      </c>
      <c r="L333">
        <v>0</v>
      </c>
      <c r="M333" t="str">
        <f>IF(tblPenalties[[#This Row],[total_yards]]=0, "Declined", "Accepted")</f>
        <v>Accepted</v>
      </c>
    </row>
    <row r="334" spans="1:13" x14ac:dyDescent="0.25">
      <c r="A334" s="1" t="s">
        <v>58</v>
      </c>
      <c r="B334" s="1" t="s">
        <v>19</v>
      </c>
      <c r="C334" s="1" t="s">
        <v>117</v>
      </c>
      <c r="D334">
        <v>13</v>
      </c>
      <c r="E334">
        <v>162</v>
      </c>
      <c r="F334">
        <v>12.46</v>
      </c>
      <c r="J334" s="1" t="s">
        <v>118</v>
      </c>
      <c r="K334">
        <v>1</v>
      </c>
      <c r="L334">
        <v>0</v>
      </c>
      <c r="M334" t="str">
        <f>IF(tblPenalties[[#This Row],[total_yards]]=0, "Declined", "Accepted")</f>
        <v>Accepted</v>
      </c>
    </row>
    <row r="335" spans="1:13" x14ac:dyDescent="0.25">
      <c r="A335" s="1" t="s">
        <v>59</v>
      </c>
      <c r="B335" s="1" t="s">
        <v>40</v>
      </c>
      <c r="C335" s="1" t="s">
        <v>117</v>
      </c>
      <c r="D335">
        <v>7</v>
      </c>
      <c r="E335">
        <v>97</v>
      </c>
      <c r="F335">
        <v>13.86</v>
      </c>
      <c r="J335" s="1" t="s">
        <v>118</v>
      </c>
      <c r="K335">
        <v>1</v>
      </c>
      <c r="L335">
        <v>0</v>
      </c>
      <c r="M335" t="str">
        <f>IF(tblPenalties[[#This Row],[total_yards]]=0, "Declined", "Accepted")</f>
        <v>Accepted</v>
      </c>
    </row>
    <row r="336" spans="1:13" x14ac:dyDescent="0.25">
      <c r="A336" s="1" t="s">
        <v>61</v>
      </c>
      <c r="B336" s="1" t="s">
        <v>13</v>
      </c>
      <c r="C336" s="1" t="s">
        <v>117</v>
      </c>
      <c r="D336">
        <v>12</v>
      </c>
      <c r="E336">
        <v>164</v>
      </c>
      <c r="F336">
        <v>13.67</v>
      </c>
      <c r="J336" s="1" t="s">
        <v>118</v>
      </c>
      <c r="K336">
        <v>1</v>
      </c>
      <c r="L336">
        <v>0</v>
      </c>
      <c r="M336" t="str">
        <f>IF(tblPenalties[[#This Row],[total_yards]]=0, "Declined", "Accepted")</f>
        <v>Accepted</v>
      </c>
    </row>
    <row r="337" spans="1:13" x14ac:dyDescent="0.25">
      <c r="A337" s="1" t="s">
        <v>62</v>
      </c>
      <c r="B337" s="1" t="s">
        <v>40</v>
      </c>
      <c r="C337" s="1" t="s">
        <v>117</v>
      </c>
      <c r="D337">
        <v>5</v>
      </c>
      <c r="E337">
        <v>72</v>
      </c>
      <c r="F337">
        <v>14.4</v>
      </c>
      <c r="J337" s="1" t="s">
        <v>118</v>
      </c>
      <c r="K337">
        <v>1</v>
      </c>
      <c r="L337">
        <v>0</v>
      </c>
      <c r="M337" t="str">
        <f>IF(tblPenalties[[#This Row],[total_yards]]=0, "Declined", "Accepted")</f>
        <v>Accepted</v>
      </c>
    </row>
    <row r="338" spans="1:13" x14ac:dyDescent="0.25">
      <c r="A338" s="1" t="s">
        <v>63</v>
      </c>
      <c r="B338" s="1" t="s">
        <v>13</v>
      </c>
      <c r="C338" s="1" t="s">
        <v>117</v>
      </c>
      <c r="D338">
        <v>3</v>
      </c>
      <c r="E338">
        <v>27</v>
      </c>
      <c r="F338">
        <v>9</v>
      </c>
      <c r="J338" s="1" t="s">
        <v>118</v>
      </c>
      <c r="K338">
        <v>1</v>
      </c>
      <c r="L338">
        <v>0</v>
      </c>
      <c r="M338" t="str">
        <f>IF(tblPenalties[[#This Row],[total_yards]]=0, "Declined", "Accepted")</f>
        <v>Accepted</v>
      </c>
    </row>
    <row r="339" spans="1:13" x14ac:dyDescent="0.25">
      <c r="A339" s="1" t="s">
        <v>64</v>
      </c>
      <c r="B339" s="1" t="s">
        <v>52</v>
      </c>
      <c r="C339" s="1" t="s">
        <v>117</v>
      </c>
      <c r="D339">
        <v>7</v>
      </c>
      <c r="E339">
        <v>43</v>
      </c>
      <c r="F339">
        <v>6.14</v>
      </c>
      <c r="J339" s="1" t="s">
        <v>118</v>
      </c>
      <c r="K339">
        <v>1</v>
      </c>
      <c r="L339">
        <v>0</v>
      </c>
      <c r="M339" t="str">
        <f>IF(tblPenalties[[#This Row],[total_yards]]=0, "Declined", "Accepted")</f>
        <v>Accepted</v>
      </c>
    </row>
    <row r="340" spans="1:13" x14ac:dyDescent="0.25">
      <c r="A340" s="1" t="s">
        <v>65</v>
      </c>
      <c r="B340" s="1" t="s">
        <v>34</v>
      </c>
      <c r="C340" s="1" t="s">
        <v>117</v>
      </c>
      <c r="D340">
        <v>4</v>
      </c>
      <c r="E340">
        <v>45</v>
      </c>
      <c r="F340">
        <v>11.25</v>
      </c>
      <c r="J340" s="1" t="s">
        <v>118</v>
      </c>
      <c r="K340">
        <v>1</v>
      </c>
      <c r="L340">
        <v>0</v>
      </c>
      <c r="M340" t="str">
        <f>IF(tblPenalties[[#This Row],[total_yards]]=0, "Declined", "Accepted")</f>
        <v>Accepted</v>
      </c>
    </row>
    <row r="341" spans="1:13" x14ac:dyDescent="0.25">
      <c r="A341" s="1" t="s">
        <v>66</v>
      </c>
      <c r="B341" s="1" t="s">
        <v>21</v>
      </c>
      <c r="C341" s="1" t="s">
        <v>117</v>
      </c>
      <c r="D341">
        <v>7</v>
      </c>
      <c r="E341">
        <v>100</v>
      </c>
      <c r="F341">
        <v>14.29</v>
      </c>
      <c r="J341" s="1" t="s">
        <v>118</v>
      </c>
      <c r="K341">
        <v>1</v>
      </c>
      <c r="L341">
        <v>0</v>
      </c>
      <c r="M341" t="str">
        <f>IF(tblPenalties[[#This Row],[total_yards]]=0, "Declined", "Accepted")</f>
        <v>Accepted</v>
      </c>
    </row>
    <row r="342" spans="1:13" x14ac:dyDescent="0.25">
      <c r="A342" s="1" t="s">
        <v>67</v>
      </c>
      <c r="B342" s="1" t="s">
        <v>52</v>
      </c>
      <c r="C342" s="1" t="s">
        <v>117</v>
      </c>
      <c r="D342">
        <v>7</v>
      </c>
      <c r="E342">
        <v>57</v>
      </c>
      <c r="F342">
        <v>8.14</v>
      </c>
      <c r="J342" s="1" t="s">
        <v>118</v>
      </c>
      <c r="K342">
        <v>1</v>
      </c>
      <c r="L342">
        <v>0</v>
      </c>
      <c r="M342" t="str">
        <f>IF(tblPenalties[[#This Row],[total_yards]]=0, "Declined", "Accepted")</f>
        <v>Accepted</v>
      </c>
    </row>
    <row r="343" spans="1:13" x14ac:dyDescent="0.25">
      <c r="A343" s="1" t="s">
        <v>119</v>
      </c>
      <c r="B343" s="1" t="s">
        <v>52</v>
      </c>
      <c r="C343" s="1" t="s">
        <v>117</v>
      </c>
      <c r="D343">
        <v>8</v>
      </c>
      <c r="E343">
        <v>66</v>
      </c>
      <c r="F343">
        <v>8.25</v>
      </c>
      <c r="J343" s="1" t="s">
        <v>118</v>
      </c>
      <c r="K343">
        <v>1</v>
      </c>
      <c r="L343">
        <v>0</v>
      </c>
      <c r="M343" t="str">
        <f>IF(tblPenalties[[#This Row],[total_yards]]=0, "Declined", "Accepted")</f>
        <v>Accepted</v>
      </c>
    </row>
    <row r="344" spans="1:13" x14ac:dyDescent="0.25">
      <c r="A344" s="1" t="s">
        <v>68</v>
      </c>
      <c r="B344" s="1" t="s">
        <v>19</v>
      </c>
      <c r="C344" s="1" t="s">
        <v>117</v>
      </c>
      <c r="D344">
        <v>9</v>
      </c>
      <c r="E344">
        <v>93</v>
      </c>
      <c r="F344">
        <v>10.33</v>
      </c>
      <c r="J344" s="1" t="s">
        <v>118</v>
      </c>
      <c r="K344">
        <v>1</v>
      </c>
      <c r="L344">
        <v>0</v>
      </c>
      <c r="M344" t="str">
        <f>IF(tblPenalties[[#This Row],[total_yards]]=0, "Declined", "Accepted")</f>
        <v>Accepted</v>
      </c>
    </row>
    <row r="345" spans="1:13" x14ac:dyDescent="0.25">
      <c r="A345" s="1" t="s">
        <v>69</v>
      </c>
      <c r="B345" s="1" t="s">
        <v>40</v>
      </c>
      <c r="C345" s="1" t="s">
        <v>117</v>
      </c>
      <c r="D345">
        <v>6</v>
      </c>
      <c r="E345">
        <v>101</v>
      </c>
      <c r="F345">
        <v>16.829999999999998</v>
      </c>
      <c r="J345" s="1" t="s">
        <v>118</v>
      </c>
      <c r="K345">
        <v>1</v>
      </c>
      <c r="L345">
        <v>0</v>
      </c>
      <c r="M345" t="str">
        <f>IF(tblPenalties[[#This Row],[total_yards]]=0, "Declined", "Accepted")</f>
        <v>Accepted</v>
      </c>
    </row>
    <row r="346" spans="1:13" x14ac:dyDescent="0.25">
      <c r="A346" s="1" t="s">
        <v>70</v>
      </c>
      <c r="B346" s="1" t="s">
        <v>21</v>
      </c>
      <c r="C346" s="1" t="s">
        <v>117</v>
      </c>
      <c r="D346">
        <v>2</v>
      </c>
      <c r="E346">
        <v>14</v>
      </c>
      <c r="F346">
        <v>7</v>
      </c>
      <c r="J346" s="1" t="s">
        <v>118</v>
      </c>
      <c r="K346">
        <v>1</v>
      </c>
      <c r="L346">
        <v>0</v>
      </c>
      <c r="M346" t="str">
        <f>IF(tblPenalties[[#This Row],[total_yards]]=0, "Declined", "Accepted")</f>
        <v>Accepted</v>
      </c>
    </row>
    <row r="347" spans="1:13" x14ac:dyDescent="0.25">
      <c r="A347" s="1" t="s">
        <v>71</v>
      </c>
      <c r="B347" s="1" t="s">
        <v>34</v>
      </c>
      <c r="C347" s="1" t="s">
        <v>117</v>
      </c>
      <c r="D347">
        <v>8</v>
      </c>
      <c r="E347">
        <v>81</v>
      </c>
      <c r="F347">
        <v>10.119999999999999</v>
      </c>
      <c r="J347" s="1" t="s">
        <v>118</v>
      </c>
      <c r="K347">
        <v>1</v>
      </c>
      <c r="L347">
        <v>0</v>
      </c>
      <c r="M347" t="str">
        <f>IF(tblPenalties[[#This Row],[total_yards]]=0, "Declined", "Accepted")</f>
        <v>Accepted</v>
      </c>
    </row>
    <row r="348" spans="1:13" x14ac:dyDescent="0.25">
      <c r="A348" s="1" t="s">
        <v>121</v>
      </c>
      <c r="B348" s="1" t="s">
        <v>28</v>
      </c>
      <c r="C348" s="1" t="s">
        <v>117</v>
      </c>
      <c r="D348">
        <v>8</v>
      </c>
      <c r="E348">
        <v>86</v>
      </c>
      <c r="F348">
        <v>10.75</v>
      </c>
      <c r="J348" s="1" t="s">
        <v>118</v>
      </c>
      <c r="K348">
        <v>1</v>
      </c>
      <c r="L348">
        <v>0</v>
      </c>
      <c r="M348" t="str">
        <f>IF(tblPenalties[[#This Row],[total_yards]]=0, "Declined", "Accepted")</f>
        <v>Accepted</v>
      </c>
    </row>
    <row r="349" spans="1:13" x14ac:dyDescent="0.25">
      <c r="A349" s="1" t="s">
        <v>72</v>
      </c>
      <c r="B349" s="1" t="s">
        <v>34</v>
      </c>
      <c r="C349" s="1" t="s">
        <v>117</v>
      </c>
      <c r="D349">
        <v>2</v>
      </c>
      <c r="E349">
        <v>28</v>
      </c>
      <c r="F349">
        <v>14</v>
      </c>
      <c r="J349" s="1" t="s">
        <v>118</v>
      </c>
      <c r="K349">
        <v>1</v>
      </c>
      <c r="L349">
        <v>0</v>
      </c>
      <c r="M349" t="str">
        <f>IF(tblPenalties[[#This Row],[total_yards]]=0, "Declined", "Accepted")</f>
        <v>Accepted</v>
      </c>
    </row>
    <row r="350" spans="1:13" x14ac:dyDescent="0.25">
      <c r="A350" s="1" t="s">
        <v>148</v>
      </c>
      <c r="B350" s="1" t="s">
        <v>52</v>
      </c>
      <c r="C350" s="1" t="s">
        <v>117</v>
      </c>
      <c r="D350">
        <v>8</v>
      </c>
      <c r="E350">
        <v>104</v>
      </c>
      <c r="F350">
        <v>13</v>
      </c>
      <c r="J350" s="1" t="s">
        <v>118</v>
      </c>
      <c r="K350">
        <v>1</v>
      </c>
      <c r="L350">
        <v>0</v>
      </c>
      <c r="M350" t="str">
        <f>IF(tblPenalties[[#This Row],[total_yards]]=0, "Declined", "Accepted")</f>
        <v>Accepted</v>
      </c>
    </row>
    <row r="351" spans="1:13" x14ac:dyDescent="0.25">
      <c r="A351" s="1" t="s">
        <v>123</v>
      </c>
      <c r="B351" s="1" t="s">
        <v>26</v>
      </c>
      <c r="C351" s="1" t="s">
        <v>117</v>
      </c>
      <c r="D351">
        <v>10</v>
      </c>
      <c r="E351">
        <v>103</v>
      </c>
      <c r="F351">
        <v>10.3</v>
      </c>
      <c r="J351" s="1" t="s">
        <v>118</v>
      </c>
      <c r="K351">
        <v>1</v>
      </c>
      <c r="L351">
        <v>0</v>
      </c>
      <c r="M351" t="str">
        <f>IF(tblPenalties[[#This Row],[total_yards]]=0, "Declined", "Accepted")</f>
        <v>Accepted</v>
      </c>
    </row>
    <row r="352" spans="1:13" x14ac:dyDescent="0.25">
      <c r="A352" s="1" t="s">
        <v>73</v>
      </c>
      <c r="B352" s="1" t="s">
        <v>26</v>
      </c>
      <c r="C352" s="1" t="s">
        <v>117</v>
      </c>
      <c r="D352">
        <v>11</v>
      </c>
      <c r="E352">
        <v>97</v>
      </c>
      <c r="F352">
        <v>8.82</v>
      </c>
      <c r="J352" s="1" t="s">
        <v>118</v>
      </c>
      <c r="K352">
        <v>1</v>
      </c>
      <c r="L352">
        <v>0</v>
      </c>
      <c r="M352" t="str">
        <f>IF(tblPenalties[[#This Row],[total_yards]]=0, "Declined", "Accepted")</f>
        <v>Accepted</v>
      </c>
    </row>
    <row r="353" spans="1:13" x14ac:dyDescent="0.25">
      <c r="A353" s="1" t="s">
        <v>150</v>
      </c>
      <c r="B353" s="1" t="s">
        <v>28</v>
      </c>
      <c r="C353" s="1" t="s">
        <v>117</v>
      </c>
      <c r="D353">
        <v>5</v>
      </c>
      <c r="E353">
        <v>60</v>
      </c>
      <c r="F353">
        <v>12</v>
      </c>
      <c r="J353" s="1" t="s">
        <v>118</v>
      </c>
      <c r="K353">
        <v>1</v>
      </c>
      <c r="L353">
        <v>0</v>
      </c>
      <c r="M353" t="str">
        <f>IF(tblPenalties[[#This Row],[total_yards]]=0, "Declined", "Accepted")</f>
        <v>Accepted</v>
      </c>
    </row>
    <row r="354" spans="1:13" x14ac:dyDescent="0.25">
      <c r="A354" s="1" t="s">
        <v>140</v>
      </c>
      <c r="B354" s="1" t="s">
        <v>52</v>
      </c>
      <c r="C354" s="1" t="s">
        <v>117</v>
      </c>
      <c r="D354">
        <v>8</v>
      </c>
      <c r="E354">
        <v>105</v>
      </c>
      <c r="F354">
        <v>13.12</v>
      </c>
      <c r="J354" s="1" t="s">
        <v>118</v>
      </c>
      <c r="K354">
        <v>1</v>
      </c>
      <c r="L354">
        <v>0</v>
      </c>
      <c r="M354" t="str">
        <f>IF(tblPenalties[[#This Row],[total_yards]]=0, "Declined", "Accepted")</f>
        <v>Accepted</v>
      </c>
    </row>
    <row r="355" spans="1:13" x14ac:dyDescent="0.25">
      <c r="A355" s="1" t="s">
        <v>75</v>
      </c>
      <c r="B355" s="1" t="s">
        <v>13</v>
      </c>
      <c r="C355" s="1" t="s">
        <v>117</v>
      </c>
      <c r="D355">
        <v>7</v>
      </c>
      <c r="E355">
        <v>76</v>
      </c>
      <c r="F355">
        <v>10.86</v>
      </c>
      <c r="J355" s="1" t="s">
        <v>118</v>
      </c>
      <c r="K355">
        <v>1</v>
      </c>
      <c r="L355">
        <v>0</v>
      </c>
      <c r="M355" t="str">
        <f>IF(tblPenalties[[#This Row],[total_yards]]=0, "Declined", "Accepted")</f>
        <v>Accepted</v>
      </c>
    </row>
    <row r="356" spans="1:13" x14ac:dyDescent="0.25">
      <c r="A356" s="1" t="s">
        <v>76</v>
      </c>
      <c r="B356" s="1" t="s">
        <v>21</v>
      </c>
      <c r="C356" s="1" t="s">
        <v>117</v>
      </c>
      <c r="D356">
        <v>4</v>
      </c>
      <c r="E356">
        <v>59</v>
      </c>
      <c r="F356">
        <v>14.75</v>
      </c>
      <c r="J356" s="1" t="s">
        <v>118</v>
      </c>
      <c r="K356">
        <v>1</v>
      </c>
      <c r="L356">
        <v>0</v>
      </c>
      <c r="M356" t="str">
        <f>IF(tblPenalties[[#This Row],[total_yards]]=0, "Declined", "Accepted")</f>
        <v>Accepted</v>
      </c>
    </row>
    <row r="357" spans="1:13" x14ac:dyDescent="0.25">
      <c r="A357" s="1" t="s">
        <v>77</v>
      </c>
      <c r="B357" s="1" t="s">
        <v>17</v>
      </c>
      <c r="C357" s="1" t="s">
        <v>117</v>
      </c>
      <c r="D357">
        <v>8</v>
      </c>
      <c r="E357">
        <v>29</v>
      </c>
      <c r="F357">
        <v>3.62</v>
      </c>
      <c r="J357" s="1" t="s">
        <v>118</v>
      </c>
      <c r="K357">
        <v>1</v>
      </c>
      <c r="L357">
        <v>0</v>
      </c>
      <c r="M357" t="str">
        <f>IF(tblPenalties[[#This Row],[total_yards]]=0, "Declined", "Accepted")</f>
        <v>Accepted</v>
      </c>
    </row>
    <row r="358" spans="1:13" x14ac:dyDescent="0.25">
      <c r="A358" s="1" t="s">
        <v>78</v>
      </c>
      <c r="B358" s="1" t="s">
        <v>79</v>
      </c>
      <c r="C358" s="1" t="s">
        <v>117</v>
      </c>
      <c r="D358">
        <v>6</v>
      </c>
      <c r="E358">
        <v>62</v>
      </c>
      <c r="F358">
        <v>10.33</v>
      </c>
      <c r="J358" s="1" t="s">
        <v>118</v>
      </c>
      <c r="K358">
        <v>1</v>
      </c>
      <c r="L358">
        <v>0</v>
      </c>
      <c r="M358" t="str">
        <f>IF(tblPenalties[[#This Row],[total_yards]]=0, "Declined", "Accepted")</f>
        <v>Accepted</v>
      </c>
    </row>
    <row r="359" spans="1:13" x14ac:dyDescent="0.25">
      <c r="A359" s="1" t="s">
        <v>80</v>
      </c>
      <c r="B359" s="1" t="s">
        <v>52</v>
      </c>
      <c r="C359" s="1" t="s">
        <v>117</v>
      </c>
      <c r="D359">
        <v>3</v>
      </c>
      <c r="E359">
        <v>30</v>
      </c>
      <c r="F359">
        <v>10</v>
      </c>
      <c r="J359" s="1" t="s">
        <v>118</v>
      </c>
      <c r="K359">
        <v>1</v>
      </c>
      <c r="L359">
        <v>0</v>
      </c>
      <c r="M359" t="str">
        <f>IF(tblPenalties[[#This Row],[total_yards]]=0, "Declined", "Accepted")</f>
        <v>Accepted</v>
      </c>
    </row>
    <row r="360" spans="1:13" x14ac:dyDescent="0.25">
      <c r="A360" s="1" t="s">
        <v>81</v>
      </c>
      <c r="B360" s="1" t="s">
        <v>52</v>
      </c>
      <c r="C360" s="1" t="s">
        <v>117</v>
      </c>
      <c r="D360">
        <v>9</v>
      </c>
      <c r="E360">
        <v>94</v>
      </c>
      <c r="F360">
        <v>10.44</v>
      </c>
      <c r="J360" s="1" t="s">
        <v>118</v>
      </c>
      <c r="K360">
        <v>1</v>
      </c>
      <c r="L360">
        <v>0</v>
      </c>
      <c r="M360" t="str">
        <f>IF(tblPenalties[[#This Row],[total_yards]]=0, "Declined", "Accepted")</f>
        <v>Accepted</v>
      </c>
    </row>
    <row r="361" spans="1:13" x14ac:dyDescent="0.25">
      <c r="A361" s="1" t="s">
        <v>82</v>
      </c>
      <c r="B361" s="1" t="s">
        <v>34</v>
      </c>
      <c r="C361" s="1" t="s">
        <v>117</v>
      </c>
      <c r="D361">
        <v>3</v>
      </c>
      <c r="E361">
        <v>30</v>
      </c>
      <c r="F361">
        <v>10</v>
      </c>
      <c r="J361" s="1" t="s">
        <v>118</v>
      </c>
      <c r="K361">
        <v>1</v>
      </c>
      <c r="L361">
        <v>0</v>
      </c>
      <c r="M361" t="str">
        <f>IF(tblPenalties[[#This Row],[total_yards]]=0, "Declined", "Accepted")</f>
        <v>Accepted</v>
      </c>
    </row>
    <row r="362" spans="1:13" x14ac:dyDescent="0.25">
      <c r="A362" s="1" t="s">
        <v>83</v>
      </c>
      <c r="B362" s="1" t="s">
        <v>52</v>
      </c>
      <c r="C362" s="1" t="s">
        <v>117</v>
      </c>
      <c r="D362">
        <v>13</v>
      </c>
      <c r="E362">
        <v>138</v>
      </c>
      <c r="F362">
        <v>10.62</v>
      </c>
      <c r="J362" s="1" t="s">
        <v>118</v>
      </c>
      <c r="K362">
        <v>1</v>
      </c>
      <c r="L362">
        <v>0</v>
      </c>
      <c r="M362" t="str">
        <f>IF(tblPenalties[[#This Row],[total_yards]]=0, "Declined", "Accepted")</f>
        <v>Accepted</v>
      </c>
    </row>
    <row r="363" spans="1:13" x14ac:dyDescent="0.25">
      <c r="A363" s="1" t="s">
        <v>84</v>
      </c>
      <c r="B363" s="1" t="s">
        <v>13</v>
      </c>
      <c r="C363" s="1" t="s">
        <v>117</v>
      </c>
      <c r="D363">
        <v>5</v>
      </c>
      <c r="E363">
        <v>54</v>
      </c>
      <c r="F363">
        <v>10.8</v>
      </c>
      <c r="J363" s="1" t="s">
        <v>118</v>
      </c>
      <c r="K363">
        <v>1</v>
      </c>
      <c r="L363">
        <v>0</v>
      </c>
      <c r="M363" t="str">
        <f>IF(tblPenalties[[#This Row],[total_yards]]=0, "Declined", "Accepted")</f>
        <v>Accepted</v>
      </c>
    </row>
    <row r="364" spans="1:13" x14ac:dyDescent="0.25">
      <c r="A364" s="1" t="s">
        <v>85</v>
      </c>
      <c r="B364" s="1" t="s">
        <v>28</v>
      </c>
      <c r="C364" s="1" t="s">
        <v>117</v>
      </c>
      <c r="D364">
        <v>7</v>
      </c>
      <c r="E364">
        <v>86</v>
      </c>
      <c r="F364">
        <v>12.29</v>
      </c>
      <c r="J364" s="1" t="s">
        <v>118</v>
      </c>
      <c r="K364">
        <v>1</v>
      </c>
      <c r="L364">
        <v>0</v>
      </c>
      <c r="M364" t="str">
        <f>IF(tblPenalties[[#This Row],[total_yards]]=0, "Declined", "Accepted")</f>
        <v>Accepted</v>
      </c>
    </row>
    <row r="365" spans="1:13" x14ac:dyDescent="0.25">
      <c r="A365" s="1" t="s">
        <v>86</v>
      </c>
      <c r="B365" s="1" t="s">
        <v>40</v>
      </c>
      <c r="C365" s="1" t="s">
        <v>117</v>
      </c>
      <c r="D365">
        <v>10</v>
      </c>
      <c r="E365">
        <v>77</v>
      </c>
      <c r="F365">
        <v>7.7</v>
      </c>
      <c r="J365" s="1" t="s">
        <v>118</v>
      </c>
      <c r="K365">
        <v>1</v>
      </c>
      <c r="L365">
        <v>0</v>
      </c>
      <c r="M365" t="str">
        <f>IF(tblPenalties[[#This Row],[total_yards]]=0, "Declined", "Accepted")</f>
        <v>Accepted</v>
      </c>
    </row>
    <row r="366" spans="1:13" x14ac:dyDescent="0.25">
      <c r="A366" s="1" t="s">
        <v>87</v>
      </c>
      <c r="B366" s="1" t="s">
        <v>26</v>
      </c>
      <c r="C366" s="1" t="s">
        <v>117</v>
      </c>
      <c r="D366">
        <v>6</v>
      </c>
      <c r="E366">
        <v>117</v>
      </c>
      <c r="F366">
        <v>19.5</v>
      </c>
      <c r="J366" s="1" t="s">
        <v>118</v>
      </c>
      <c r="K366">
        <v>1</v>
      </c>
      <c r="L366">
        <v>0</v>
      </c>
      <c r="M366" t="str">
        <f>IF(tblPenalties[[#This Row],[total_yards]]=0, "Declined", "Accepted")</f>
        <v>Accepted</v>
      </c>
    </row>
    <row r="367" spans="1:13" x14ac:dyDescent="0.25">
      <c r="A367" s="1" t="s">
        <v>149</v>
      </c>
      <c r="B367" s="1" t="s">
        <v>26</v>
      </c>
      <c r="C367" s="1" t="s">
        <v>117</v>
      </c>
      <c r="D367">
        <v>5</v>
      </c>
      <c r="E367">
        <v>63</v>
      </c>
      <c r="F367">
        <v>12.6</v>
      </c>
      <c r="J367" s="1" t="s">
        <v>118</v>
      </c>
      <c r="K367">
        <v>1</v>
      </c>
      <c r="L367">
        <v>0</v>
      </c>
      <c r="M367" t="str">
        <f>IF(tblPenalties[[#This Row],[total_yards]]=0, "Declined", "Accepted")</f>
        <v>Accepted</v>
      </c>
    </row>
    <row r="368" spans="1:13" x14ac:dyDescent="0.25">
      <c r="A368" s="1" t="s">
        <v>88</v>
      </c>
      <c r="B368" s="1" t="s">
        <v>19</v>
      </c>
      <c r="C368" s="1" t="s">
        <v>117</v>
      </c>
      <c r="D368">
        <v>9</v>
      </c>
      <c r="E368">
        <v>116</v>
      </c>
      <c r="F368">
        <v>12.89</v>
      </c>
      <c r="J368" s="1" t="s">
        <v>118</v>
      </c>
      <c r="K368">
        <v>1</v>
      </c>
      <c r="L368">
        <v>0</v>
      </c>
      <c r="M368" t="str">
        <f>IF(tblPenalties[[#This Row],[total_yards]]=0, "Declined", "Accepted")</f>
        <v>Accepted</v>
      </c>
    </row>
    <row r="369" spans="1:13" x14ac:dyDescent="0.25">
      <c r="A369" s="1" t="s">
        <v>89</v>
      </c>
      <c r="B369" s="1" t="s">
        <v>13</v>
      </c>
      <c r="C369" s="1" t="s">
        <v>117</v>
      </c>
      <c r="D369">
        <v>8</v>
      </c>
      <c r="E369">
        <v>78</v>
      </c>
      <c r="F369">
        <v>9.75</v>
      </c>
      <c r="J369" s="1" t="s">
        <v>118</v>
      </c>
      <c r="K369">
        <v>1</v>
      </c>
      <c r="L369">
        <v>0</v>
      </c>
      <c r="M369" t="str">
        <f>IF(tblPenalties[[#This Row],[total_yards]]=0, "Declined", "Accepted")</f>
        <v>Accepted</v>
      </c>
    </row>
    <row r="370" spans="1:13" x14ac:dyDescent="0.25">
      <c r="A370" s="1" t="s">
        <v>141</v>
      </c>
      <c r="B370" s="1" t="s">
        <v>28</v>
      </c>
      <c r="C370" s="1" t="s">
        <v>117</v>
      </c>
      <c r="D370">
        <v>9</v>
      </c>
      <c r="E370">
        <v>75</v>
      </c>
      <c r="F370">
        <v>8.33</v>
      </c>
      <c r="J370" s="1" t="s">
        <v>118</v>
      </c>
      <c r="K370">
        <v>1</v>
      </c>
      <c r="L370">
        <v>0</v>
      </c>
      <c r="M370" t="str">
        <f>IF(tblPenalties[[#This Row],[total_yards]]=0, "Declined", "Accepted")</f>
        <v>Accepted</v>
      </c>
    </row>
    <row r="371" spans="1:13" x14ac:dyDescent="0.25">
      <c r="A371" s="1" t="s">
        <v>90</v>
      </c>
      <c r="B371" s="1" t="s">
        <v>28</v>
      </c>
      <c r="C371" s="1" t="s">
        <v>117</v>
      </c>
      <c r="D371">
        <v>9</v>
      </c>
      <c r="E371">
        <v>77</v>
      </c>
      <c r="F371">
        <v>8.56</v>
      </c>
      <c r="J371" s="1" t="s">
        <v>118</v>
      </c>
      <c r="K371">
        <v>1</v>
      </c>
      <c r="L371">
        <v>0</v>
      </c>
      <c r="M371" t="str">
        <f>IF(tblPenalties[[#This Row],[total_yards]]=0, "Declined", "Accepted")</f>
        <v>Accepted</v>
      </c>
    </row>
    <row r="372" spans="1:13" x14ac:dyDescent="0.25">
      <c r="A372" s="1" t="s">
        <v>91</v>
      </c>
      <c r="B372" s="1" t="s">
        <v>17</v>
      </c>
      <c r="C372" s="1" t="s">
        <v>117</v>
      </c>
      <c r="D372">
        <v>12</v>
      </c>
      <c r="E372">
        <v>174</v>
      </c>
      <c r="F372">
        <v>14.5</v>
      </c>
      <c r="J372" s="1" t="s">
        <v>118</v>
      </c>
      <c r="K372">
        <v>1</v>
      </c>
      <c r="L372">
        <v>0</v>
      </c>
      <c r="M372" t="str">
        <f>IF(tblPenalties[[#This Row],[total_yards]]=0, "Declined", "Accepted")</f>
        <v>Accepted</v>
      </c>
    </row>
    <row r="373" spans="1:13" x14ac:dyDescent="0.25">
      <c r="A373" s="1" t="s">
        <v>92</v>
      </c>
      <c r="B373" s="1" t="s">
        <v>34</v>
      </c>
      <c r="C373" s="1" t="s">
        <v>117</v>
      </c>
      <c r="D373">
        <v>4</v>
      </c>
      <c r="E373">
        <v>48</v>
      </c>
      <c r="F373">
        <v>12</v>
      </c>
      <c r="J373" s="1" t="s">
        <v>118</v>
      </c>
      <c r="K373">
        <v>1</v>
      </c>
      <c r="L373">
        <v>0</v>
      </c>
      <c r="M373" t="str">
        <f>IF(tblPenalties[[#This Row],[total_yards]]=0, "Declined", "Accepted")</f>
        <v>Accepted</v>
      </c>
    </row>
    <row r="374" spans="1:13" x14ac:dyDescent="0.25">
      <c r="A374" s="1" t="s">
        <v>131</v>
      </c>
      <c r="B374" s="1" t="s">
        <v>13</v>
      </c>
      <c r="C374" s="1" t="s">
        <v>117</v>
      </c>
      <c r="D374">
        <v>5</v>
      </c>
      <c r="E374">
        <v>66</v>
      </c>
      <c r="F374">
        <v>13.2</v>
      </c>
      <c r="J374" s="1" t="s">
        <v>118</v>
      </c>
      <c r="K374">
        <v>1</v>
      </c>
      <c r="L374">
        <v>0</v>
      </c>
      <c r="M374" t="str">
        <f>IF(tblPenalties[[#This Row],[total_yards]]=0, "Declined", "Accepted")</f>
        <v>Accepted</v>
      </c>
    </row>
    <row r="375" spans="1:13" x14ac:dyDescent="0.25">
      <c r="A375" s="1" t="s">
        <v>93</v>
      </c>
      <c r="B375" s="1" t="s">
        <v>21</v>
      </c>
      <c r="C375" s="1" t="s">
        <v>117</v>
      </c>
      <c r="D375">
        <v>11</v>
      </c>
      <c r="E375">
        <v>129</v>
      </c>
      <c r="F375">
        <v>11.73</v>
      </c>
      <c r="J375" s="1" t="s">
        <v>118</v>
      </c>
      <c r="K375">
        <v>1</v>
      </c>
      <c r="L375">
        <v>0</v>
      </c>
      <c r="M375" t="str">
        <f>IF(tblPenalties[[#This Row],[total_yards]]=0, "Declined", "Accepted")</f>
        <v>Accepted</v>
      </c>
    </row>
    <row r="376" spans="1:13" x14ac:dyDescent="0.25">
      <c r="A376" s="1" t="s">
        <v>94</v>
      </c>
      <c r="B376" s="1" t="s">
        <v>13</v>
      </c>
      <c r="C376" s="1" t="s">
        <v>117</v>
      </c>
      <c r="D376">
        <v>6</v>
      </c>
      <c r="E376">
        <v>44</v>
      </c>
      <c r="F376">
        <v>7.33</v>
      </c>
      <c r="J376" s="1" t="s">
        <v>118</v>
      </c>
      <c r="K376">
        <v>1</v>
      </c>
      <c r="L376">
        <v>0</v>
      </c>
      <c r="M376" t="str">
        <f>IF(tblPenalties[[#This Row],[total_yards]]=0, "Declined", "Accepted")</f>
        <v>Accepted</v>
      </c>
    </row>
    <row r="377" spans="1:13" x14ac:dyDescent="0.25">
      <c r="A377" s="1" t="s">
        <v>95</v>
      </c>
      <c r="B377" s="1" t="s">
        <v>34</v>
      </c>
      <c r="C377" s="1" t="s">
        <v>117</v>
      </c>
      <c r="D377">
        <v>9</v>
      </c>
      <c r="E377">
        <v>136</v>
      </c>
      <c r="F377">
        <v>15.11</v>
      </c>
      <c r="J377" s="1" t="s">
        <v>118</v>
      </c>
      <c r="K377">
        <v>1</v>
      </c>
      <c r="L377">
        <v>0</v>
      </c>
      <c r="M377" t="str">
        <f>IF(tblPenalties[[#This Row],[total_yards]]=0, "Declined", "Accepted")</f>
        <v>Accepted</v>
      </c>
    </row>
    <row r="378" spans="1:13" x14ac:dyDescent="0.25">
      <c r="A378" s="1" t="s">
        <v>96</v>
      </c>
      <c r="B378" s="1" t="s">
        <v>34</v>
      </c>
      <c r="C378" s="1" t="s">
        <v>117</v>
      </c>
      <c r="D378">
        <v>15</v>
      </c>
      <c r="E378">
        <v>217</v>
      </c>
      <c r="F378">
        <v>14.47</v>
      </c>
      <c r="J378" s="1" t="s">
        <v>118</v>
      </c>
      <c r="K378">
        <v>1</v>
      </c>
      <c r="L378">
        <v>0</v>
      </c>
      <c r="M378" t="str">
        <f>IF(tblPenalties[[#This Row],[total_yards]]=0, "Declined", "Accepted")</f>
        <v>Accepted</v>
      </c>
    </row>
    <row r="379" spans="1:13" x14ac:dyDescent="0.25">
      <c r="A379" s="1" t="s">
        <v>97</v>
      </c>
      <c r="B379" s="1" t="s">
        <v>34</v>
      </c>
      <c r="C379" s="1" t="s">
        <v>117</v>
      </c>
      <c r="D379">
        <v>5</v>
      </c>
      <c r="E379">
        <v>65</v>
      </c>
      <c r="F379">
        <v>13</v>
      </c>
      <c r="J379" s="1" t="s">
        <v>118</v>
      </c>
      <c r="K379">
        <v>1</v>
      </c>
      <c r="L379">
        <v>0</v>
      </c>
      <c r="M379" t="str">
        <f>IF(tblPenalties[[#This Row],[total_yards]]=0, "Declined", "Accepted")</f>
        <v>Accepted</v>
      </c>
    </row>
    <row r="380" spans="1:13" x14ac:dyDescent="0.25">
      <c r="A380" s="1" t="s">
        <v>142</v>
      </c>
      <c r="B380" s="1" t="s">
        <v>52</v>
      </c>
      <c r="C380" s="1" t="s">
        <v>117</v>
      </c>
      <c r="D380">
        <v>5</v>
      </c>
      <c r="E380">
        <v>53</v>
      </c>
      <c r="F380">
        <v>10.6</v>
      </c>
      <c r="J380" s="1" t="s">
        <v>118</v>
      </c>
      <c r="K380">
        <v>1</v>
      </c>
      <c r="L380">
        <v>0</v>
      </c>
      <c r="M380" t="str">
        <f>IF(tblPenalties[[#This Row],[total_yards]]=0, "Declined", "Accepted")</f>
        <v>Accepted</v>
      </c>
    </row>
    <row r="381" spans="1:13" x14ac:dyDescent="0.25">
      <c r="A381" s="1" t="s">
        <v>99</v>
      </c>
      <c r="B381" s="1" t="s">
        <v>100</v>
      </c>
      <c r="C381" s="1" t="s">
        <v>117</v>
      </c>
      <c r="D381">
        <v>6</v>
      </c>
      <c r="E381">
        <v>72</v>
      </c>
      <c r="F381">
        <v>12</v>
      </c>
      <c r="J381" s="1" t="s">
        <v>118</v>
      </c>
      <c r="K381">
        <v>1</v>
      </c>
      <c r="L381">
        <v>0</v>
      </c>
      <c r="M381" t="str">
        <f>IF(tblPenalties[[#This Row],[total_yards]]=0, "Declined", "Accepted")</f>
        <v>Accepted</v>
      </c>
    </row>
    <row r="382" spans="1:13" x14ac:dyDescent="0.25">
      <c r="A382" s="1" t="s">
        <v>151</v>
      </c>
      <c r="B382" s="1" t="s">
        <v>13</v>
      </c>
      <c r="C382" s="1" t="s">
        <v>117</v>
      </c>
      <c r="D382">
        <v>5</v>
      </c>
      <c r="E382">
        <v>36</v>
      </c>
      <c r="F382">
        <v>7.2</v>
      </c>
      <c r="J382" s="1" t="s">
        <v>118</v>
      </c>
      <c r="K382">
        <v>1</v>
      </c>
      <c r="L382">
        <v>0</v>
      </c>
      <c r="M382" t="str">
        <f>IF(tblPenalties[[#This Row],[total_yards]]=0, "Declined", "Accepted")</f>
        <v>Accepted</v>
      </c>
    </row>
    <row r="383" spans="1:13" x14ac:dyDescent="0.25">
      <c r="A383" s="1" t="s">
        <v>101</v>
      </c>
      <c r="B383" s="1" t="s">
        <v>21</v>
      </c>
      <c r="C383" s="1" t="s">
        <v>117</v>
      </c>
      <c r="D383">
        <v>3</v>
      </c>
      <c r="E383">
        <v>30</v>
      </c>
      <c r="F383">
        <v>10</v>
      </c>
      <c r="J383" s="1" t="s">
        <v>118</v>
      </c>
      <c r="K383">
        <v>1</v>
      </c>
      <c r="L383">
        <v>0</v>
      </c>
      <c r="M383" t="str">
        <f>IF(tblPenalties[[#This Row],[total_yards]]=0, "Declined", "Accepted")</f>
        <v>Accepted</v>
      </c>
    </row>
    <row r="384" spans="1:13" x14ac:dyDescent="0.25">
      <c r="A384" s="1" t="s">
        <v>102</v>
      </c>
      <c r="B384" s="1" t="s">
        <v>26</v>
      </c>
      <c r="C384" s="1" t="s">
        <v>117</v>
      </c>
      <c r="D384">
        <v>10</v>
      </c>
      <c r="E384">
        <v>144</v>
      </c>
      <c r="F384">
        <v>14.4</v>
      </c>
      <c r="J384" s="1" t="s">
        <v>118</v>
      </c>
      <c r="K384">
        <v>1</v>
      </c>
      <c r="L384">
        <v>0</v>
      </c>
      <c r="M384" t="str">
        <f>IF(tblPenalties[[#This Row],[total_yards]]=0, "Declined", "Accepted")</f>
        <v>Accepted</v>
      </c>
    </row>
    <row r="385" spans="1:13" x14ac:dyDescent="0.25">
      <c r="A385" s="1" t="s">
        <v>103</v>
      </c>
      <c r="B385" s="1" t="s">
        <v>34</v>
      </c>
      <c r="C385" s="1" t="s">
        <v>117</v>
      </c>
      <c r="D385">
        <v>6</v>
      </c>
      <c r="E385">
        <v>106</v>
      </c>
      <c r="F385">
        <v>17.670000000000002</v>
      </c>
      <c r="J385" s="1" t="s">
        <v>118</v>
      </c>
      <c r="K385">
        <v>1</v>
      </c>
      <c r="L385">
        <v>0</v>
      </c>
      <c r="M385" t="str">
        <f>IF(tblPenalties[[#This Row],[total_yards]]=0, "Declined", "Accepted")</f>
        <v>Accepted</v>
      </c>
    </row>
    <row r="386" spans="1:13" x14ac:dyDescent="0.25">
      <c r="A386" s="1" t="s">
        <v>143</v>
      </c>
      <c r="B386" s="1" t="s">
        <v>40</v>
      </c>
      <c r="C386" s="1" t="s">
        <v>117</v>
      </c>
      <c r="D386">
        <v>4</v>
      </c>
      <c r="E386">
        <v>41</v>
      </c>
      <c r="F386">
        <v>10.25</v>
      </c>
      <c r="J386" s="1" t="s">
        <v>118</v>
      </c>
      <c r="K386">
        <v>1</v>
      </c>
      <c r="L386">
        <v>0</v>
      </c>
      <c r="M386" t="str">
        <f>IF(tblPenalties[[#This Row],[total_yards]]=0, "Declined", "Accepted")</f>
        <v>Accepted</v>
      </c>
    </row>
    <row r="387" spans="1:13" x14ac:dyDescent="0.25">
      <c r="A387" s="1" t="s">
        <v>104</v>
      </c>
      <c r="B387" s="1" t="s">
        <v>34</v>
      </c>
      <c r="C387" s="1" t="s">
        <v>117</v>
      </c>
      <c r="D387">
        <v>10</v>
      </c>
      <c r="E387">
        <v>147</v>
      </c>
      <c r="F387">
        <v>14.7</v>
      </c>
      <c r="J387" s="1" t="s">
        <v>118</v>
      </c>
      <c r="K387">
        <v>1</v>
      </c>
      <c r="L387">
        <v>0</v>
      </c>
      <c r="M387" t="str">
        <f>IF(tblPenalties[[#This Row],[total_yards]]=0, "Declined", "Accepted")</f>
        <v>Accepted</v>
      </c>
    </row>
    <row r="388" spans="1:13" x14ac:dyDescent="0.25">
      <c r="A388" s="1" t="s">
        <v>105</v>
      </c>
      <c r="B388" s="1" t="s">
        <v>26</v>
      </c>
      <c r="C388" s="1" t="s">
        <v>117</v>
      </c>
      <c r="D388">
        <v>6</v>
      </c>
      <c r="E388">
        <v>49</v>
      </c>
      <c r="F388">
        <v>8.17</v>
      </c>
      <c r="J388" s="1" t="s">
        <v>118</v>
      </c>
      <c r="K388">
        <v>1</v>
      </c>
      <c r="L388">
        <v>0</v>
      </c>
      <c r="M388" t="str">
        <f>IF(tblPenalties[[#This Row],[total_yards]]=0, "Declined", "Accepted")</f>
        <v>Accepted</v>
      </c>
    </row>
    <row r="389" spans="1:13" x14ac:dyDescent="0.25">
      <c r="A389" s="1" t="s">
        <v>106</v>
      </c>
      <c r="B389" s="1" t="s">
        <v>28</v>
      </c>
      <c r="C389" s="1" t="s">
        <v>117</v>
      </c>
      <c r="D389">
        <v>7</v>
      </c>
      <c r="E389">
        <v>68</v>
      </c>
      <c r="F389">
        <v>9.7100000000000009</v>
      </c>
      <c r="J389" s="1" t="s">
        <v>118</v>
      </c>
      <c r="K389">
        <v>1</v>
      </c>
      <c r="L389">
        <v>0</v>
      </c>
      <c r="M389" t="str">
        <f>IF(tblPenalties[[#This Row],[total_yards]]=0, "Declined", "Accepted")</f>
        <v>Accepted</v>
      </c>
    </row>
    <row r="390" spans="1:13" x14ac:dyDescent="0.25">
      <c r="A390" s="1" t="s">
        <v>107</v>
      </c>
      <c r="B390" s="1" t="s">
        <v>21</v>
      </c>
      <c r="C390" s="1" t="s">
        <v>117</v>
      </c>
      <c r="D390">
        <v>7</v>
      </c>
      <c r="E390">
        <v>89</v>
      </c>
      <c r="F390">
        <v>12.71</v>
      </c>
      <c r="J390" s="1" t="s">
        <v>118</v>
      </c>
      <c r="K390">
        <v>1</v>
      </c>
      <c r="L390">
        <v>0</v>
      </c>
      <c r="M390" t="str">
        <f>IF(tblPenalties[[#This Row],[total_yards]]=0, "Declined", "Accepted")</f>
        <v>Accepted</v>
      </c>
    </row>
    <row r="391" spans="1:13" x14ac:dyDescent="0.25">
      <c r="A391" s="1" t="s">
        <v>132</v>
      </c>
      <c r="B391" s="1" t="s">
        <v>40</v>
      </c>
      <c r="C391" s="1" t="s">
        <v>117</v>
      </c>
      <c r="D391">
        <v>7</v>
      </c>
      <c r="E391">
        <v>74</v>
      </c>
      <c r="F391">
        <v>10.57</v>
      </c>
      <c r="J391" s="1" t="s">
        <v>118</v>
      </c>
      <c r="K391">
        <v>1</v>
      </c>
      <c r="L391">
        <v>0</v>
      </c>
      <c r="M391" t="str">
        <f>IF(tblPenalties[[#This Row],[total_yards]]=0, "Declined", "Accepted")</f>
        <v>Accepted</v>
      </c>
    </row>
    <row r="392" spans="1:13" x14ac:dyDescent="0.25">
      <c r="A392" s="1" t="s">
        <v>109</v>
      </c>
      <c r="B392" s="1" t="s">
        <v>79</v>
      </c>
      <c r="C392" s="1" t="s">
        <v>117</v>
      </c>
      <c r="D392">
        <v>5</v>
      </c>
      <c r="E392">
        <v>74</v>
      </c>
      <c r="F392">
        <v>14.8</v>
      </c>
      <c r="J392" s="1" t="s">
        <v>118</v>
      </c>
      <c r="K392">
        <v>1</v>
      </c>
      <c r="L392">
        <v>0</v>
      </c>
      <c r="M392" t="str">
        <f>IF(tblPenalties[[#This Row],[total_yards]]=0, "Declined", "Accepted")</f>
        <v>Accepted</v>
      </c>
    </row>
    <row r="393" spans="1:13" x14ac:dyDescent="0.25">
      <c r="A393" s="1" t="s">
        <v>110</v>
      </c>
      <c r="B393" s="1" t="s">
        <v>17</v>
      </c>
      <c r="C393" s="1" t="s">
        <v>117</v>
      </c>
      <c r="D393">
        <v>10</v>
      </c>
      <c r="E393">
        <v>144</v>
      </c>
      <c r="F393">
        <v>14.4</v>
      </c>
      <c r="J393" s="1" t="s">
        <v>118</v>
      </c>
      <c r="K393">
        <v>1</v>
      </c>
      <c r="L393">
        <v>0</v>
      </c>
      <c r="M393" t="str">
        <f>IF(tblPenalties[[#This Row],[total_yards]]=0, "Declined", "Accepted")</f>
        <v>Accepted</v>
      </c>
    </row>
    <row r="394" spans="1:13" x14ac:dyDescent="0.25">
      <c r="A394" s="1" t="s">
        <v>111</v>
      </c>
      <c r="B394" s="1" t="s">
        <v>52</v>
      </c>
      <c r="C394" s="1" t="s">
        <v>117</v>
      </c>
      <c r="D394">
        <v>4</v>
      </c>
      <c r="E394">
        <v>47</v>
      </c>
      <c r="F394">
        <v>11.75</v>
      </c>
      <c r="J394" s="1" t="s">
        <v>118</v>
      </c>
      <c r="K394">
        <v>1</v>
      </c>
      <c r="L394">
        <v>0</v>
      </c>
      <c r="M394" t="str">
        <f>IF(tblPenalties[[#This Row],[total_yards]]=0, "Declined", "Accepted")</f>
        <v>Accepted</v>
      </c>
    </row>
    <row r="395" spans="1:13" x14ac:dyDescent="0.25">
      <c r="A395" s="1" t="s">
        <v>144</v>
      </c>
      <c r="B395" s="1" t="s">
        <v>26</v>
      </c>
      <c r="C395" s="1" t="s">
        <v>117</v>
      </c>
      <c r="D395">
        <v>11</v>
      </c>
      <c r="E395">
        <v>136</v>
      </c>
      <c r="F395">
        <v>12.36</v>
      </c>
      <c r="J395" s="1" t="s">
        <v>118</v>
      </c>
      <c r="K395">
        <v>1</v>
      </c>
      <c r="L395">
        <v>0</v>
      </c>
      <c r="M395" t="str">
        <f>IF(tblPenalties[[#This Row],[total_yards]]=0, "Declined", "Accepted")</f>
        <v>Accepted</v>
      </c>
    </row>
    <row r="396" spans="1:13" x14ac:dyDescent="0.25">
      <c r="A396" s="1" t="s">
        <v>134</v>
      </c>
      <c r="B396" s="1" t="s">
        <v>26</v>
      </c>
      <c r="C396" s="1" t="s">
        <v>129</v>
      </c>
      <c r="D396">
        <v>15</v>
      </c>
      <c r="E396">
        <v>54</v>
      </c>
      <c r="F396">
        <v>3.6</v>
      </c>
      <c r="J396" s="1" t="s">
        <v>130</v>
      </c>
      <c r="K396">
        <v>1</v>
      </c>
      <c r="L396">
        <v>0</v>
      </c>
      <c r="M396" t="str">
        <f>IF(tblPenalties[[#This Row],[total_yards]]=0, "Declined", "Accepted")</f>
        <v>Accepted</v>
      </c>
    </row>
    <row r="397" spans="1:13" x14ac:dyDescent="0.25">
      <c r="A397" s="1" t="s">
        <v>145</v>
      </c>
      <c r="B397" s="1" t="s">
        <v>21</v>
      </c>
      <c r="C397" s="1" t="s">
        <v>129</v>
      </c>
      <c r="D397">
        <v>7</v>
      </c>
      <c r="E397">
        <v>84</v>
      </c>
      <c r="F397">
        <v>12</v>
      </c>
      <c r="J397" s="1" t="s">
        <v>130</v>
      </c>
      <c r="K397">
        <v>1</v>
      </c>
      <c r="L397">
        <v>0</v>
      </c>
      <c r="M397" t="str">
        <f>IF(tblPenalties[[#This Row],[total_yards]]=0, "Declined", "Accepted")</f>
        <v>Accepted</v>
      </c>
    </row>
    <row r="398" spans="1:13" x14ac:dyDescent="0.25">
      <c r="A398" s="1" t="s">
        <v>12</v>
      </c>
      <c r="B398" s="1" t="s">
        <v>13</v>
      </c>
      <c r="C398" s="1" t="s">
        <v>129</v>
      </c>
      <c r="D398">
        <v>9</v>
      </c>
      <c r="E398">
        <v>31</v>
      </c>
      <c r="F398">
        <v>3.44</v>
      </c>
      <c r="J398" s="1" t="s">
        <v>130</v>
      </c>
      <c r="K398">
        <v>1</v>
      </c>
      <c r="L398">
        <v>0</v>
      </c>
      <c r="M398" t="str">
        <f>IF(tblPenalties[[#This Row],[total_yards]]=0, "Declined", "Accepted")</f>
        <v>Accepted</v>
      </c>
    </row>
    <row r="399" spans="1:13" x14ac:dyDescent="0.25">
      <c r="A399" s="1" t="s">
        <v>16</v>
      </c>
      <c r="B399" s="1" t="s">
        <v>17</v>
      </c>
      <c r="C399" s="1" t="s">
        <v>129</v>
      </c>
      <c r="D399">
        <v>27</v>
      </c>
      <c r="E399">
        <v>169</v>
      </c>
      <c r="F399">
        <v>6.26</v>
      </c>
      <c r="J399" s="1" t="s">
        <v>130</v>
      </c>
      <c r="K399">
        <v>1</v>
      </c>
      <c r="L399">
        <v>0</v>
      </c>
      <c r="M399" t="str">
        <f>IF(tblPenalties[[#This Row],[total_yards]]=0, "Declined", "Accepted")</f>
        <v>Accepted</v>
      </c>
    </row>
    <row r="400" spans="1:13" x14ac:dyDescent="0.25">
      <c r="A400" s="1" t="s">
        <v>135</v>
      </c>
      <c r="B400" s="1" t="s">
        <v>17</v>
      </c>
      <c r="C400" s="1" t="s">
        <v>129</v>
      </c>
      <c r="D400">
        <v>21</v>
      </c>
      <c r="E400">
        <v>142</v>
      </c>
      <c r="F400">
        <v>6.76</v>
      </c>
      <c r="J400" s="1" t="s">
        <v>130</v>
      </c>
      <c r="K400">
        <v>1</v>
      </c>
      <c r="L400">
        <v>0</v>
      </c>
      <c r="M400" t="str">
        <f>IF(tblPenalties[[#This Row],[total_yards]]=0, "Declined", "Accepted")</f>
        <v>Accepted</v>
      </c>
    </row>
    <row r="401" spans="1:13" x14ac:dyDescent="0.25">
      <c r="A401" s="1" t="s">
        <v>18</v>
      </c>
      <c r="B401" s="1" t="s">
        <v>19</v>
      </c>
      <c r="C401" s="1" t="s">
        <v>129</v>
      </c>
      <c r="D401">
        <v>21</v>
      </c>
      <c r="E401">
        <v>207</v>
      </c>
      <c r="F401">
        <v>9.86</v>
      </c>
      <c r="J401" s="1" t="s">
        <v>130</v>
      </c>
      <c r="K401">
        <v>1</v>
      </c>
      <c r="L401">
        <v>0</v>
      </c>
      <c r="M401" t="str">
        <f>IF(tblPenalties[[#This Row],[total_yards]]=0, "Declined", "Accepted")</f>
        <v>Accepted</v>
      </c>
    </row>
    <row r="402" spans="1:13" x14ac:dyDescent="0.25">
      <c r="A402" s="1" t="s">
        <v>124</v>
      </c>
      <c r="B402" s="1" t="s">
        <v>13</v>
      </c>
      <c r="C402" s="1" t="s">
        <v>129</v>
      </c>
      <c r="D402">
        <v>25</v>
      </c>
      <c r="E402">
        <v>201</v>
      </c>
      <c r="F402">
        <v>8.0399999999999991</v>
      </c>
      <c r="J402" s="1" t="s">
        <v>130</v>
      </c>
      <c r="K402">
        <v>1</v>
      </c>
      <c r="L402">
        <v>0</v>
      </c>
      <c r="M402" t="str">
        <f>IF(tblPenalties[[#This Row],[total_yards]]=0, "Declined", "Accepted")</f>
        <v>Accepted</v>
      </c>
    </row>
    <row r="403" spans="1:13" x14ac:dyDescent="0.25">
      <c r="A403" s="1" t="s">
        <v>146</v>
      </c>
      <c r="B403" s="1" t="s">
        <v>34</v>
      </c>
      <c r="C403" s="1" t="s">
        <v>129</v>
      </c>
      <c r="D403">
        <v>6</v>
      </c>
      <c r="E403">
        <v>36</v>
      </c>
      <c r="F403">
        <v>6</v>
      </c>
      <c r="J403" s="1" t="s">
        <v>130</v>
      </c>
      <c r="K403">
        <v>1</v>
      </c>
      <c r="L403">
        <v>0</v>
      </c>
      <c r="M403" t="str">
        <f>IF(tblPenalties[[#This Row],[total_yards]]=0, "Declined", "Accepted")</f>
        <v>Accepted</v>
      </c>
    </row>
    <row r="404" spans="1:13" x14ac:dyDescent="0.25">
      <c r="A404" s="1" t="s">
        <v>126</v>
      </c>
      <c r="B404" s="1" t="s">
        <v>19</v>
      </c>
      <c r="C404" s="1" t="s">
        <v>129</v>
      </c>
      <c r="D404">
        <v>22</v>
      </c>
      <c r="E404">
        <v>170</v>
      </c>
      <c r="F404">
        <v>7.73</v>
      </c>
      <c r="J404" s="1" t="s">
        <v>130</v>
      </c>
      <c r="K404">
        <v>1</v>
      </c>
      <c r="L404">
        <v>0</v>
      </c>
      <c r="M404" t="str">
        <f>IF(tblPenalties[[#This Row],[total_yards]]=0, "Declined", "Accepted")</f>
        <v>Accepted</v>
      </c>
    </row>
    <row r="405" spans="1:13" x14ac:dyDescent="0.25">
      <c r="A405" s="1" t="s">
        <v>20</v>
      </c>
      <c r="B405" s="1" t="s">
        <v>21</v>
      </c>
      <c r="C405" s="1" t="s">
        <v>129</v>
      </c>
      <c r="D405">
        <v>7</v>
      </c>
      <c r="E405">
        <v>46</v>
      </c>
      <c r="F405">
        <v>6.57</v>
      </c>
      <c r="J405" s="1" t="s">
        <v>130</v>
      </c>
      <c r="K405">
        <v>1</v>
      </c>
      <c r="L405">
        <v>0</v>
      </c>
      <c r="M405" t="str">
        <f>IF(tblPenalties[[#This Row],[total_yards]]=0, "Declined", "Accepted")</f>
        <v>Accepted</v>
      </c>
    </row>
    <row r="406" spans="1:13" x14ac:dyDescent="0.25">
      <c r="A406" s="1" t="s">
        <v>24</v>
      </c>
      <c r="B406" s="1" t="s">
        <v>17</v>
      </c>
      <c r="C406" s="1" t="s">
        <v>129</v>
      </c>
      <c r="D406">
        <v>27</v>
      </c>
      <c r="E406">
        <v>131</v>
      </c>
      <c r="F406">
        <v>4.8499999999999996</v>
      </c>
      <c r="J406" s="1" t="s">
        <v>130</v>
      </c>
      <c r="K406">
        <v>1</v>
      </c>
      <c r="L406">
        <v>0</v>
      </c>
      <c r="M406" t="str">
        <f>IF(tblPenalties[[#This Row],[total_yards]]=0, "Declined", "Accepted")</f>
        <v>Accepted</v>
      </c>
    </row>
    <row r="407" spans="1:13" x14ac:dyDescent="0.25">
      <c r="A407" s="1" t="s">
        <v>25</v>
      </c>
      <c r="B407" s="1" t="s">
        <v>26</v>
      </c>
      <c r="C407" s="1" t="s">
        <v>129</v>
      </c>
      <c r="D407">
        <v>16</v>
      </c>
      <c r="E407">
        <v>180</v>
      </c>
      <c r="F407">
        <v>11.25</v>
      </c>
      <c r="J407" s="1" t="s">
        <v>130</v>
      </c>
      <c r="K407">
        <v>1</v>
      </c>
      <c r="L407">
        <v>0</v>
      </c>
      <c r="M407" t="str">
        <f>IF(tblPenalties[[#This Row],[total_yards]]=0, "Declined", "Accepted")</f>
        <v>Accepted</v>
      </c>
    </row>
    <row r="408" spans="1:13" x14ac:dyDescent="0.25">
      <c r="A408" s="1" t="s">
        <v>27</v>
      </c>
      <c r="B408" s="1" t="s">
        <v>28</v>
      </c>
      <c r="C408" s="1" t="s">
        <v>129</v>
      </c>
      <c r="D408">
        <v>8</v>
      </c>
      <c r="E408">
        <v>63</v>
      </c>
      <c r="F408">
        <v>7.88</v>
      </c>
      <c r="J408" s="1" t="s">
        <v>130</v>
      </c>
      <c r="K408">
        <v>1</v>
      </c>
      <c r="L408">
        <v>0</v>
      </c>
      <c r="M408" t="str">
        <f>IF(tblPenalties[[#This Row],[total_yards]]=0, "Declined", "Accepted")</f>
        <v>Accepted</v>
      </c>
    </row>
    <row r="409" spans="1:13" x14ac:dyDescent="0.25">
      <c r="A409" s="1" t="s">
        <v>29</v>
      </c>
      <c r="B409" s="1" t="s">
        <v>21</v>
      </c>
      <c r="C409" s="1" t="s">
        <v>129</v>
      </c>
      <c r="D409">
        <v>8</v>
      </c>
      <c r="E409">
        <v>105</v>
      </c>
      <c r="F409">
        <v>13.12</v>
      </c>
      <c r="J409" s="1" t="s">
        <v>130</v>
      </c>
      <c r="K409">
        <v>1</v>
      </c>
      <c r="L409">
        <v>0</v>
      </c>
      <c r="M409" t="str">
        <f>IF(tblPenalties[[#This Row],[total_yards]]=0, "Declined", "Accepted")</f>
        <v>Accepted</v>
      </c>
    </row>
    <row r="410" spans="1:13" x14ac:dyDescent="0.25">
      <c r="A410" s="1" t="s">
        <v>30</v>
      </c>
      <c r="B410" s="1" t="s">
        <v>21</v>
      </c>
      <c r="C410" s="1" t="s">
        <v>129</v>
      </c>
      <c r="D410">
        <v>9</v>
      </c>
      <c r="E410">
        <v>76</v>
      </c>
      <c r="F410">
        <v>8.44</v>
      </c>
      <c r="J410" s="1" t="s">
        <v>130</v>
      </c>
      <c r="K410">
        <v>1</v>
      </c>
      <c r="L410">
        <v>0</v>
      </c>
      <c r="M410" t="str">
        <f>IF(tblPenalties[[#This Row],[total_yards]]=0, "Declined", "Accepted")</f>
        <v>Accepted</v>
      </c>
    </row>
    <row r="411" spans="1:13" x14ac:dyDescent="0.25">
      <c r="A411" s="1" t="s">
        <v>136</v>
      </c>
      <c r="B411" s="1" t="s">
        <v>21</v>
      </c>
      <c r="C411" s="1" t="s">
        <v>129</v>
      </c>
      <c r="D411">
        <v>8</v>
      </c>
      <c r="E411">
        <v>37</v>
      </c>
      <c r="F411">
        <v>4.62</v>
      </c>
      <c r="J411" s="1" t="s">
        <v>130</v>
      </c>
      <c r="K411">
        <v>1</v>
      </c>
      <c r="L411">
        <v>0</v>
      </c>
      <c r="M411" t="str">
        <f>IF(tblPenalties[[#This Row],[total_yards]]=0, "Declined", "Accepted")</f>
        <v>Accepted</v>
      </c>
    </row>
    <row r="412" spans="1:13" x14ac:dyDescent="0.25">
      <c r="A412" s="1" t="s">
        <v>32</v>
      </c>
      <c r="B412" s="1" t="s">
        <v>28</v>
      </c>
      <c r="C412" s="1" t="s">
        <v>129</v>
      </c>
      <c r="D412">
        <v>15</v>
      </c>
      <c r="E412">
        <v>113</v>
      </c>
      <c r="F412">
        <v>7.53</v>
      </c>
      <c r="J412" s="1" t="s">
        <v>130</v>
      </c>
      <c r="K412">
        <v>1</v>
      </c>
      <c r="L412">
        <v>0</v>
      </c>
      <c r="M412" t="str">
        <f>IF(tblPenalties[[#This Row],[total_yards]]=0, "Declined", "Accepted")</f>
        <v>Accepted</v>
      </c>
    </row>
    <row r="413" spans="1:13" x14ac:dyDescent="0.25">
      <c r="A413" s="1" t="s">
        <v>33</v>
      </c>
      <c r="B413" s="1" t="s">
        <v>34</v>
      </c>
      <c r="C413" s="1" t="s">
        <v>129</v>
      </c>
      <c r="D413">
        <v>12</v>
      </c>
      <c r="E413">
        <v>127</v>
      </c>
      <c r="F413">
        <v>10.58</v>
      </c>
      <c r="J413" s="1" t="s">
        <v>130</v>
      </c>
      <c r="K413">
        <v>1</v>
      </c>
      <c r="L413">
        <v>0</v>
      </c>
      <c r="M413" t="str">
        <f>IF(tblPenalties[[#This Row],[total_yards]]=0, "Declined", "Accepted")</f>
        <v>Accepted</v>
      </c>
    </row>
    <row r="414" spans="1:13" x14ac:dyDescent="0.25">
      <c r="A414" s="1" t="s">
        <v>35</v>
      </c>
      <c r="B414" s="1" t="s">
        <v>28</v>
      </c>
      <c r="C414" s="1" t="s">
        <v>129</v>
      </c>
      <c r="D414">
        <v>11</v>
      </c>
      <c r="E414">
        <v>139</v>
      </c>
      <c r="F414">
        <v>12.64</v>
      </c>
      <c r="J414" s="1" t="s">
        <v>130</v>
      </c>
      <c r="K414">
        <v>1</v>
      </c>
      <c r="L414">
        <v>0</v>
      </c>
      <c r="M414" t="str">
        <f>IF(tblPenalties[[#This Row],[total_yards]]=0, "Declined", "Accepted")</f>
        <v>Accepted</v>
      </c>
    </row>
    <row r="415" spans="1:13" x14ac:dyDescent="0.25">
      <c r="A415" s="1" t="s">
        <v>36</v>
      </c>
      <c r="B415" s="1" t="s">
        <v>13</v>
      </c>
      <c r="C415" s="1" t="s">
        <v>129</v>
      </c>
      <c r="D415">
        <v>20</v>
      </c>
      <c r="E415">
        <v>361</v>
      </c>
      <c r="F415">
        <v>18.05</v>
      </c>
      <c r="J415" s="1" t="s">
        <v>130</v>
      </c>
      <c r="K415">
        <v>1</v>
      </c>
      <c r="L415">
        <v>0</v>
      </c>
      <c r="M415" t="str">
        <f>IF(tblPenalties[[#This Row],[total_yards]]=0, "Declined", "Accepted")</f>
        <v>Accepted</v>
      </c>
    </row>
    <row r="416" spans="1:13" x14ac:dyDescent="0.25">
      <c r="A416" s="1" t="s">
        <v>37</v>
      </c>
      <c r="B416" s="1" t="s">
        <v>17</v>
      </c>
      <c r="C416" s="1" t="s">
        <v>129</v>
      </c>
      <c r="D416">
        <v>16</v>
      </c>
      <c r="E416">
        <v>245</v>
      </c>
      <c r="F416">
        <v>15.31</v>
      </c>
      <c r="J416" s="1" t="s">
        <v>130</v>
      </c>
      <c r="K416">
        <v>1</v>
      </c>
      <c r="L416">
        <v>0</v>
      </c>
      <c r="M416" t="str">
        <f>IF(tblPenalties[[#This Row],[total_yards]]=0, "Declined", "Accepted")</f>
        <v>Accepted</v>
      </c>
    </row>
    <row r="417" spans="1:13" x14ac:dyDescent="0.25">
      <c r="A417" s="1" t="s">
        <v>38</v>
      </c>
      <c r="B417" s="1" t="s">
        <v>26</v>
      </c>
      <c r="C417" s="1" t="s">
        <v>129</v>
      </c>
      <c r="D417">
        <v>15</v>
      </c>
      <c r="E417">
        <v>240</v>
      </c>
      <c r="F417">
        <v>16</v>
      </c>
      <c r="J417" s="1" t="s">
        <v>130</v>
      </c>
      <c r="K417">
        <v>1</v>
      </c>
      <c r="L417">
        <v>0</v>
      </c>
      <c r="M417" t="str">
        <f>IF(tblPenalties[[#This Row],[total_yards]]=0, "Declined", "Accepted")</f>
        <v>Accepted</v>
      </c>
    </row>
    <row r="418" spans="1:13" x14ac:dyDescent="0.25">
      <c r="A418" s="1" t="s">
        <v>39</v>
      </c>
      <c r="B418" s="1" t="s">
        <v>40</v>
      </c>
      <c r="C418" s="1" t="s">
        <v>129</v>
      </c>
      <c r="D418">
        <v>15</v>
      </c>
      <c r="E418">
        <v>234</v>
      </c>
      <c r="F418">
        <v>15.6</v>
      </c>
      <c r="J418" s="1" t="s">
        <v>130</v>
      </c>
      <c r="K418">
        <v>1</v>
      </c>
      <c r="L418">
        <v>0</v>
      </c>
      <c r="M418" t="str">
        <f>IF(tblPenalties[[#This Row],[total_yards]]=0, "Declined", "Accepted")</f>
        <v>Accepted</v>
      </c>
    </row>
    <row r="419" spans="1:13" x14ac:dyDescent="0.25">
      <c r="A419" s="1" t="s">
        <v>137</v>
      </c>
      <c r="B419" s="1" t="s">
        <v>28</v>
      </c>
      <c r="C419" s="1" t="s">
        <v>129</v>
      </c>
      <c r="D419">
        <v>11</v>
      </c>
      <c r="E419">
        <v>82</v>
      </c>
      <c r="F419">
        <v>7.45</v>
      </c>
      <c r="J419" s="1" t="s">
        <v>130</v>
      </c>
      <c r="K419">
        <v>1</v>
      </c>
      <c r="L419">
        <v>0</v>
      </c>
      <c r="M419" t="str">
        <f>IF(tblPenalties[[#This Row],[total_yards]]=0, "Declined", "Accepted")</f>
        <v>Accepted</v>
      </c>
    </row>
    <row r="420" spans="1:13" x14ac:dyDescent="0.25">
      <c r="A420" s="1" t="s">
        <v>41</v>
      </c>
      <c r="B420" s="1" t="s">
        <v>21</v>
      </c>
      <c r="C420" s="1" t="s">
        <v>129</v>
      </c>
      <c r="D420">
        <v>16</v>
      </c>
      <c r="E420">
        <v>206</v>
      </c>
      <c r="F420">
        <v>12.88</v>
      </c>
      <c r="J420" s="1" t="s">
        <v>130</v>
      </c>
      <c r="K420">
        <v>1</v>
      </c>
      <c r="L420">
        <v>0</v>
      </c>
      <c r="M420" t="str">
        <f>IF(tblPenalties[[#This Row],[total_yards]]=0, "Declined", "Accepted")</f>
        <v>Accepted</v>
      </c>
    </row>
    <row r="421" spans="1:13" x14ac:dyDescent="0.25">
      <c r="A421" s="1" t="s">
        <v>127</v>
      </c>
      <c r="B421" s="1" t="s">
        <v>34</v>
      </c>
      <c r="C421" s="1" t="s">
        <v>129</v>
      </c>
      <c r="D421">
        <v>16</v>
      </c>
      <c r="E421">
        <v>136</v>
      </c>
      <c r="F421">
        <v>8.5</v>
      </c>
      <c r="J421" s="1" t="s">
        <v>130</v>
      </c>
      <c r="K421">
        <v>1</v>
      </c>
      <c r="L421">
        <v>0</v>
      </c>
      <c r="M421" t="str">
        <f>IF(tblPenalties[[#This Row],[total_yards]]=0, "Declined", "Accepted")</f>
        <v>Accepted</v>
      </c>
    </row>
    <row r="422" spans="1:13" x14ac:dyDescent="0.25">
      <c r="A422" s="1" t="s">
        <v>42</v>
      </c>
      <c r="B422" s="1" t="s">
        <v>34</v>
      </c>
      <c r="C422" s="1" t="s">
        <v>129</v>
      </c>
      <c r="D422">
        <v>12</v>
      </c>
      <c r="E422">
        <v>104</v>
      </c>
      <c r="F422">
        <v>8.67</v>
      </c>
      <c r="J422" s="1" t="s">
        <v>130</v>
      </c>
      <c r="K422">
        <v>1</v>
      </c>
      <c r="L422">
        <v>0</v>
      </c>
      <c r="M422" t="str">
        <f>IF(tblPenalties[[#This Row],[total_yards]]=0, "Declined", "Accepted")</f>
        <v>Accepted</v>
      </c>
    </row>
    <row r="423" spans="1:13" x14ac:dyDescent="0.25">
      <c r="A423" s="1" t="s">
        <v>43</v>
      </c>
      <c r="B423" s="1" t="s">
        <v>40</v>
      </c>
      <c r="C423" s="1" t="s">
        <v>129</v>
      </c>
      <c r="D423">
        <v>16</v>
      </c>
      <c r="E423">
        <v>259</v>
      </c>
      <c r="F423">
        <v>16.190000000000001</v>
      </c>
      <c r="J423" s="1" t="s">
        <v>130</v>
      </c>
      <c r="K423">
        <v>1</v>
      </c>
      <c r="L423">
        <v>0</v>
      </c>
      <c r="M423" t="str">
        <f>IF(tblPenalties[[#This Row],[total_yards]]=0, "Declined", "Accepted")</f>
        <v>Accepted</v>
      </c>
    </row>
    <row r="424" spans="1:13" x14ac:dyDescent="0.25">
      <c r="A424" s="1" t="s">
        <v>44</v>
      </c>
      <c r="B424" s="1" t="s">
        <v>19</v>
      </c>
      <c r="C424" s="1" t="s">
        <v>129</v>
      </c>
      <c r="D424">
        <v>13</v>
      </c>
      <c r="E424">
        <v>151</v>
      </c>
      <c r="F424">
        <v>11.62</v>
      </c>
      <c r="J424" s="1" t="s">
        <v>130</v>
      </c>
      <c r="K424">
        <v>1</v>
      </c>
      <c r="L424">
        <v>0</v>
      </c>
      <c r="M424" t="str">
        <f>IF(tblPenalties[[#This Row],[total_yards]]=0, "Declined", "Accepted")</f>
        <v>Accepted</v>
      </c>
    </row>
    <row r="425" spans="1:13" x14ac:dyDescent="0.25">
      <c r="A425" s="1" t="s">
        <v>45</v>
      </c>
      <c r="B425" s="1" t="s">
        <v>28</v>
      </c>
      <c r="C425" s="1" t="s">
        <v>129</v>
      </c>
      <c r="D425">
        <v>8</v>
      </c>
      <c r="E425">
        <v>92</v>
      </c>
      <c r="F425">
        <v>11.5</v>
      </c>
      <c r="J425" s="1" t="s">
        <v>130</v>
      </c>
      <c r="K425">
        <v>1</v>
      </c>
      <c r="L425">
        <v>0</v>
      </c>
      <c r="M425" t="str">
        <f>IF(tblPenalties[[#This Row],[total_yards]]=0, "Declined", "Accepted")</f>
        <v>Accepted</v>
      </c>
    </row>
    <row r="426" spans="1:13" x14ac:dyDescent="0.25">
      <c r="A426" s="1" t="s">
        <v>46</v>
      </c>
      <c r="B426" s="1" t="s">
        <v>26</v>
      </c>
      <c r="C426" s="1" t="s">
        <v>129</v>
      </c>
      <c r="D426">
        <v>23</v>
      </c>
      <c r="E426">
        <v>160</v>
      </c>
      <c r="F426">
        <v>6.96</v>
      </c>
      <c r="J426" s="1" t="s">
        <v>130</v>
      </c>
      <c r="K426">
        <v>1</v>
      </c>
      <c r="L426">
        <v>0</v>
      </c>
      <c r="M426" t="str">
        <f>IF(tblPenalties[[#This Row],[total_yards]]=0, "Declined", "Accepted")</f>
        <v>Accepted</v>
      </c>
    </row>
    <row r="427" spans="1:13" x14ac:dyDescent="0.25">
      <c r="A427" s="1" t="s">
        <v>47</v>
      </c>
      <c r="B427" s="1" t="s">
        <v>13</v>
      </c>
      <c r="C427" s="1" t="s">
        <v>129</v>
      </c>
      <c r="D427">
        <v>15</v>
      </c>
      <c r="E427">
        <v>234</v>
      </c>
      <c r="F427">
        <v>15.6</v>
      </c>
      <c r="J427" s="1" t="s">
        <v>130</v>
      </c>
      <c r="K427">
        <v>1</v>
      </c>
      <c r="L427">
        <v>0</v>
      </c>
      <c r="M427" t="str">
        <f>IF(tblPenalties[[#This Row],[total_yards]]=0, "Declined", "Accepted")</f>
        <v>Accepted</v>
      </c>
    </row>
    <row r="428" spans="1:13" x14ac:dyDescent="0.25">
      <c r="A428" s="1" t="s">
        <v>147</v>
      </c>
      <c r="B428" s="1" t="s">
        <v>13</v>
      </c>
      <c r="C428" s="1" t="s">
        <v>129</v>
      </c>
      <c r="D428">
        <v>15</v>
      </c>
      <c r="E428">
        <v>77</v>
      </c>
      <c r="F428">
        <v>5.13</v>
      </c>
      <c r="J428" s="1" t="s">
        <v>130</v>
      </c>
      <c r="K428">
        <v>1</v>
      </c>
      <c r="L428">
        <v>0</v>
      </c>
      <c r="M428" t="str">
        <f>IF(tblPenalties[[#This Row],[total_yards]]=0, "Declined", "Accepted")</f>
        <v>Accepted</v>
      </c>
    </row>
    <row r="429" spans="1:13" x14ac:dyDescent="0.25">
      <c r="A429" s="1" t="s">
        <v>48</v>
      </c>
      <c r="B429" s="1" t="s">
        <v>26</v>
      </c>
      <c r="C429" s="1" t="s">
        <v>129</v>
      </c>
      <c r="D429">
        <v>16</v>
      </c>
      <c r="E429">
        <v>158</v>
      </c>
      <c r="F429">
        <v>9.8800000000000008</v>
      </c>
      <c r="J429" s="1" t="s">
        <v>130</v>
      </c>
      <c r="K429">
        <v>1</v>
      </c>
      <c r="L429">
        <v>0</v>
      </c>
      <c r="M429" t="str">
        <f>IF(tblPenalties[[#This Row],[total_yards]]=0, "Declined", "Accepted")</f>
        <v>Accepted</v>
      </c>
    </row>
    <row r="430" spans="1:13" x14ac:dyDescent="0.25">
      <c r="A430" s="1" t="s">
        <v>50</v>
      </c>
      <c r="B430" s="1" t="s">
        <v>17</v>
      </c>
      <c r="C430" s="1" t="s">
        <v>129</v>
      </c>
      <c r="D430">
        <v>18</v>
      </c>
      <c r="E430">
        <v>240</v>
      </c>
      <c r="F430">
        <v>13.33</v>
      </c>
      <c r="J430" s="1" t="s">
        <v>130</v>
      </c>
      <c r="K430">
        <v>1</v>
      </c>
      <c r="L430">
        <v>0</v>
      </c>
      <c r="M430" t="str">
        <f>IF(tblPenalties[[#This Row],[total_yards]]=0, "Declined", "Accepted")</f>
        <v>Accepted</v>
      </c>
    </row>
    <row r="431" spans="1:13" x14ac:dyDescent="0.25">
      <c r="A431" s="1" t="s">
        <v>51</v>
      </c>
      <c r="B431" s="1" t="s">
        <v>52</v>
      </c>
      <c r="C431" s="1" t="s">
        <v>129</v>
      </c>
      <c r="D431">
        <v>11</v>
      </c>
      <c r="E431">
        <v>64</v>
      </c>
      <c r="F431">
        <v>5.82</v>
      </c>
      <c r="J431" s="1" t="s">
        <v>130</v>
      </c>
      <c r="K431">
        <v>1</v>
      </c>
      <c r="L431">
        <v>0</v>
      </c>
      <c r="M431" t="str">
        <f>IF(tblPenalties[[#This Row],[total_yards]]=0, "Declined", "Accepted")</f>
        <v>Accepted</v>
      </c>
    </row>
    <row r="432" spans="1:13" x14ac:dyDescent="0.25">
      <c r="A432" s="1" t="s">
        <v>53</v>
      </c>
      <c r="B432" s="1" t="s">
        <v>17</v>
      </c>
      <c r="C432" s="1" t="s">
        <v>129</v>
      </c>
      <c r="D432">
        <v>19</v>
      </c>
      <c r="E432">
        <v>382</v>
      </c>
      <c r="F432">
        <v>20.11</v>
      </c>
      <c r="J432" s="1" t="s">
        <v>130</v>
      </c>
      <c r="K432">
        <v>1</v>
      </c>
      <c r="L432">
        <v>0</v>
      </c>
      <c r="M432" t="str">
        <f>IF(tblPenalties[[#This Row],[total_yards]]=0, "Declined", "Accepted")</f>
        <v>Accepted</v>
      </c>
    </row>
    <row r="433" spans="1:13" x14ac:dyDescent="0.25">
      <c r="A433" s="1" t="s">
        <v>54</v>
      </c>
      <c r="B433" s="1" t="s">
        <v>13</v>
      </c>
      <c r="C433" s="1" t="s">
        <v>129</v>
      </c>
      <c r="D433">
        <v>11</v>
      </c>
      <c r="E433">
        <v>64</v>
      </c>
      <c r="F433">
        <v>5.82</v>
      </c>
      <c r="J433" s="1" t="s">
        <v>130</v>
      </c>
      <c r="K433">
        <v>1</v>
      </c>
      <c r="L433">
        <v>0</v>
      </c>
      <c r="M433" t="str">
        <f>IF(tblPenalties[[#This Row],[total_yards]]=0, "Declined", "Accepted")</f>
        <v>Accepted</v>
      </c>
    </row>
    <row r="434" spans="1:13" x14ac:dyDescent="0.25">
      <c r="A434" s="1" t="s">
        <v>55</v>
      </c>
      <c r="B434" s="1" t="s">
        <v>40</v>
      </c>
      <c r="C434" s="1" t="s">
        <v>129</v>
      </c>
      <c r="D434">
        <v>11</v>
      </c>
      <c r="E434">
        <v>61</v>
      </c>
      <c r="F434">
        <v>5.55</v>
      </c>
      <c r="J434" s="1" t="s">
        <v>130</v>
      </c>
      <c r="K434">
        <v>1</v>
      </c>
      <c r="L434">
        <v>0</v>
      </c>
      <c r="M434" t="str">
        <f>IF(tblPenalties[[#This Row],[total_yards]]=0, "Declined", "Accepted")</f>
        <v>Accepted</v>
      </c>
    </row>
    <row r="435" spans="1:13" x14ac:dyDescent="0.25">
      <c r="A435" s="1" t="s">
        <v>138</v>
      </c>
      <c r="B435" s="1" t="s">
        <v>17</v>
      </c>
      <c r="C435" s="1" t="s">
        <v>129</v>
      </c>
      <c r="D435">
        <v>16</v>
      </c>
      <c r="E435">
        <v>110</v>
      </c>
      <c r="F435">
        <v>6.88</v>
      </c>
      <c r="J435" s="1" t="s">
        <v>130</v>
      </c>
      <c r="K435">
        <v>1</v>
      </c>
      <c r="L435">
        <v>0</v>
      </c>
      <c r="M435" t="str">
        <f>IF(tblPenalties[[#This Row],[total_yards]]=0, "Declined", "Accepted")</f>
        <v>Accepted</v>
      </c>
    </row>
    <row r="436" spans="1:13" x14ac:dyDescent="0.25">
      <c r="A436" s="1" t="s">
        <v>139</v>
      </c>
      <c r="B436" s="1" t="s">
        <v>17</v>
      </c>
      <c r="C436" s="1" t="s">
        <v>129</v>
      </c>
      <c r="D436">
        <v>9</v>
      </c>
      <c r="E436">
        <v>104</v>
      </c>
      <c r="F436">
        <v>11.56</v>
      </c>
      <c r="J436" s="1" t="s">
        <v>130</v>
      </c>
      <c r="K436">
        <v>1</v>
      </c>
      <c r="L436">
        <v>0</v>
      </c>
      <c r="M436" t="str">
        <f>IF(tblPenalties[[#This Row],[total_yards]]=0, "Declined", "Accepted")</f>
        <v>Accepted</v>
      </c>
    </row>
    <row r="437" spans="1:13" x14ac:dyDescent="0.25">
      <c r="A437" s="1" t="s">
        <v>56</v>
      </c>
      <c r="B437" s="1" t="s">
        <v>40</v>
      </c>
      <c r="C437" s="1" t="s">
        <v>129</v>
      </c>
      <c r="D437">
        <v>16</v>
      </c>
      <c r="E437">
        <v>276</v>
      </c>
      <c r="F437">
        <v>17.25</v>
      </c>
      <c r="J437" s="1" t="s">
        <v>130</v>
      </c>
      <c r="K437">
        <v>1</v>
      </c>
      <c r="L437">
        <v>0</v>
      </c>
      <c r="M437" t="str">
        <f>IF(tblPenalties[[#This Row],[total_yards]]=0, "Declined", "Accepted")</f>
        <v>Accepted</v>
      </c>
    </row>
    <row r="438" spans="1:13" x14ac:dyDescent="0.25">
      <c r="A438" s="1" t="s">
        <v>116</v>
      </c>
      <c r="B438" s="1" t="s">
        <v>21</v>
      </c>
      <c r="C438" s="1" t="s">
        <v>129</v>
      </c>
      <c r="D438">
        <v>6</v>
      </c>
      <c r="E438">
        <v>99</v>
      </c>
      <c r="F438">
        <v>16.5</v>
      </c>
      <c r="J438" s="1" t="s">
        <v>130</v>
      </c>
      <c r="K438">
        <v>1</v>
      </c>
      <c r="L438">
        <v>0</v>
      </c>
      <c r="M438" t="str">
        <f>IF(tblPenalties[[#This Row],[total_yards]]=0, "Declined", "Accepted")</f>
        <v>Accepted</v>
      </c>
    </row>
    <row r="439" spans="1:13" x14ac:dyDescent="0.25">
      <c r="A439" s="1" t="s">
        <v>57</v>
      </c>
      <c r="B439" s="1" t="s">
        <v>19</v>
      </c>
      <c r="C439" s="1" t="s">
        <v>129</v>
      </c>
      <c r="D439">
        <v>14</v>
      </c>
      <c r="E439">
        <v>131</v>
      </c>
      <c r="F439">
        <v>9.36</v>
      </c>
      <c r="J439" s="1" t="s">
        <v>130</v>
      </c>
      <c r="K439">
        <v>1</v>
      </c>
      <c r="L439">
        <v>0</v>
      </c>
      <c r="M439" t="str">
        <f>IF(tblPenalties[[#This Row],[total_yards]]=0, "Declined", "Accepted")</f>
        <v>Accepted</v>
      </c>
    </row>
    <row r="440" spans="1:13" x14ac:dyDescent="0.25">
      <c r="A440" s="1" t="s">
        <v>58</v>
      </c>
      <c r="B440" s="1" t="s">
        <v>19</v>
      </c>
      <c r="C440" s="1" t="s">
        <v>129</v>
      </c>
      <c r="D440">
        <v>11</v>
      </c>
      <c r="E440">
        <v>56</v>
      </c>
      <c r="F440">
        <v>5.09</v>
      </c>
      <c r="J440" s="1" t="s">
        <v>130</v>
      </c>
      <c r="K440">
        <v>1</v>
      </c>
      <c r="L440">
        <v>0</v>
      </c>
      <c r="M440" t="str">
        <f>IF(tblPenalties[[#This Row],[total_yards]]=0, "Declined", "Accepted")</f>
        <v>Accepted</v>
      </c>
    </row>
    <row r="441" spans="1:13" x14ac:dyDescent="0.25">
      <c r="A441" s="1" t="s">
        <v>59</v>
      </c>
      <c r="B441" s="1" t="s">
        <v>40</v>
      </c>
      <c r="C441" s="1" t="s">
        <v>129</v>
      </c>
      <c r="D441">
        <v>10</v>
      </c>
      <c r="E441">
        <v>65</v>
      </c>
      <c r="F441">
        <v>6.5</v>
      </c>
      <c r="J441" s="1" t="s">
        <v>130</v>
      </c>
      <c r="K441">
        <v>1</v>
      </c>
      <c r="L441">
        <v>0</v>
      </c>
      <c r="M441" t="str">
        <f>IF(tblPenalties[[#This Row],[total_yards]]=0, "Declined", "Accepted")</f>
        <v>Accepted</v>
      </c>
    </row>
    <row r="442" spans="1:13" x14ac:dyDescent="0.25">
      <c r="A442" s="1" t="s">
        <v>60</v>
      </c>
      <c r="B442" s="1" t="s">
        <v>40</v>
      </c>
      <c r="C442" s="1" t="s">
        <v>129</v>
      </c>
      <c r="D442">
        <v>15</v>
      </c>
      <c r="E442">
        <v>199</v>
      </c>
      <c r="F442">
        <v>13.27</v>
      </c>
      <c r="J442" s="1" t="s">
        <v>130</v>
      </c>
      <c r="K442">
        <v>1</v>
      </c>
      <c r="L442">
        <v>0</v>
      </c>
      <c r="M442" t="str">
        <f>IF(tblPenalties[[#This Row],[total_yards]]=0, "Declined", "Accepted")</f>
        <v>Accepted</v>
      </c>
    </row>
    <row r="443" spans="1:13" x14ac:dyDescent="0.25">
      <c r="A443" s="1" t="s">
        <v>61</v>
      </c>
      <c r="B443" s="1" t="s">
        <v>13</v>
      </c>
      <c r="C443" s="1" t="s">
        <v>129</v>
      </c>
      <c r="D443">
        <v>10</v>
      </c>
      <c r="E443">
        <v>92</v>
      </c>
      <c r="F443">
        <v>9.1999999999999993</v>
      </c>
      <c r="J443" s="1" t="s">
        <v>130</v>
      </c>
      <c r="K443">
        <v>1</v>
      </c>
      <c r="L443">
        <v>0</v>
      </c>
      <c r="M443" t="str">
        <f>IF(tblPenalties[[#This Row],[total_yards]]=0, "Declined", "Accepted")</f>
        <v>Accepted</v>
      </c>
    </row>
    <row r="444" spans="1:13" x14ac:dyDescent="0.25">
      <c r="A444" s="1" t="s">
        <v>62</v>
      </c>
      <c r="B444" s="1" t="s">
        <v>40</v>
      </c>
      <c r="C444" s="1" t="s">
        <v>129</v>
      </c>
      <c r="D444">
        <v>14</v>
      </c>
      <c r="E444">
        <v>138</v>
      </c>
      <c r="F444">
        <v>9.86</v>
      </c>
      <c r="J444" s="1" t="s">
        <v>130</v>
      </c>
      <c r="K444">
        <v>1</v>
      </c>
      <c r="L444">
        <v>0</v>
      </c>
      <c r="M444" t="str">
        <f>IF(tblPenalties[[#This Row],[total_yards]]=0, "Declined", "Accepted")</f>
        <v>Accepted</v>
      </c>
    </row>
    <row r="445" spans="1:13" x14ac:dyDescent="0.25">
      <c r="A445" s="1" t="s">
        <v>63</v>
      </c>
      <c r="B445" s="1" t="s">
        <v>13</v>
      </c>
      <c r="C445" s="1" t="s">
        <v>129</v>
      </c>
      <c r="D445">
        <v>19</v>
      </c>
      <c r="E445">
        <v>81</v>
      </c>
      <c r="F445">
        <v>4.26</v>
      </c>
      <c r="J445" s="1" t="s">
        <v>130</v>
      </c>
      <c r="K445">
        <v>1</v>
      </c>
      <c r="L445">
        <v>0</v>
      </c>
      <c r="M445" t="str">
        <f>IF(tblPenalties[[#This Row],[total_yards]]=0, "Declined", "Accepted")</f>
        <v>Accepted</v>
      </c>
    </row>
    <row r="446" spans="1:13" x14ac:dyDescent="0.25">
      <c r="A446" s="1" t="s">
        <v>64</v>
      </c>
      <c r="B446" s="1" t="s">
        <v>52</v>
      </c>
      <c r="C446" s="1" t="s">
        <v>129</v>
      </c>
      <c r="D446">
        <v>4</v>
      </c>
      <c r="E446">
        <v>26</v>
      </c>
      <c r="F446">
        <v>6.5</v>
      </c>
      <c r="J446" s="1" t="s">
        <v>130</v>
      </c>
      <c r="K446">
        <v>1</v>
      </c>
      <c r="L446">
        <v>0</v>
      </c>
      <c r="M446" t="str">
        <f>IF(tblPenalties[[#This Row],[total_yards]]=0, "Declined", "Accepted")</f>
        <v>Accepted</v>
      </c>
    </row>
    <row r="447" spans="1:13" x14ac:dyDescent="0.25">
      <c r="A447" s="1" t="s">
        <v>65</v>
      </c>
      <c r="B447" s="1" t="s">
        <v>34</v>
      </c>
      <c r="C447" s="1" t="s">
        <v>129</v>
      </c>
      <c r="D447">
        <v>16</v>
      </c>
      <c r="E447">
        <v>120</v>
      </c>
      <c r="F447">
        <v>7.5</v>
      </c>
      <c r="J447" s="1" t="s">
        <v>130</v>
      </c>
      <c r="K447">
        <v>1</v>
      </c>
      <c r="L447">
        <v>0</v>
      </c>
      <c r="M447" t="str">
        <f>IF(tblPenalties[[#This Row],[total_yards]]=0, "Declined", "Accepted")</f>
        <v>Accepted</v>
      </c>
    </row>
    <row r="448" spans="1:13" x14ac:dyDescent="0.25">
      <c r="A448" s="1" t="s">
        <v>66</v>
      </c>
      <c r="B448" s="1" t="s">
        <v>21</v>
      </c>
      <c r="C448" s="1" t="s">
        <v>129</v>
      </c>
      <c r="D448">
        <v>14</v>
      </c>
      <c r="E448">
        <v>145</v>
      </c>
      <c r="F448">
        <v>10.36</v>
      </c>
      <c r="J448" s="1" t="s">
        <v>130</v>
      </c>
      <c r="K448">
        <v>1</v>
      </c>
      <c r="L448">
        <v>0</v>
      </c>
      <c r="M448" t="str">
        <f>IF(tblPenalties[[#This Row],[total_yards]]=0, "Declined", "Accepted")</f>
        <v>Accepted</v>
      </c>
    </row>
    <row r="449" spans="1:13" x14ac:dyDescent="0.25">
      <c r="A449" s="1" t="s">
        <v>67</v>
      </c>
      <c r="B449" s="1" t="s">
        <v>52</v>
      </c>
      <c r="C449" s="1" t="s">
        <v>129</v>
      </c>
      <c r="D449">
        <v>12</v>
      </c>
      <c r="E449">
        <v>62</v>
      </c>
      <c r="F449">
        <v>5.17</v>
      </c>
      <c r="J449" s="1" t="s">
        <v>130</v>
      </c>
      <c r="K449">
        <v>1</v>
      </c>
      <c r="L449">
        <v>0</v>
      </c>
      <c r="M449" t="str">
        <f>IF(tblPenalties[[#This Row],[total_yards]]=0, "Declined", "Accepted")</f>
        <v>Accepted</v>
      </c>
    </row>
    <row r="450" spans="1:13" x14ac:dyDescent="0.25">
      <c r="A450" s="1" t="s">
        <v>119</v>
      </c>
      <c r="B450" s="1" t="s">
        <v>52</v>
      </c>
      <c r="C450" s="1" t="s">
        <v>129</v>
      </c>
      <c r="D450">
        <v>7</v>
      </c>
      <c r="E450">
        <v>13</v>
      </c>
      <c r="F450">
        <v>1.86</v>
      </c>
      <c r="J450" s="1" t="s">
        <v>130</v>
      </c>
      <c r="K450">
        <v>1</v>
      </c>
      <c r="L450">
        <v>0</v>
      </c>
      <c r="M450" t="str">
        <f>IF(tblPenalties[[#This Row],[total_yards]]=0, "Declined", "Accepted")</f>
        <v>Accepted</v>
      </c>
    </row>
    <row r="451" spans="1:13" x14ac:dyDescent="0.25">
      <c r="A451" s="1" t="s">
        <v>68</v>
      </c>
      <c r="B451" s="1" t="s">
        <v>19</v>
      </c>
      <c r="C451" s="1" t="s">
        <v>129</v>
      </c>
      <c r="D451">
        <v>19</v>
      </c>
      <c r="E451">
        <v>138</v>
      </c>
      <c r="F451">
        <v>7.26</v>
      </c>
      <c r="J451" s="1" t="s">
        <v>130</v>
      </c>
      <c r="K451">
        <v>1</v>
      </c>
      <c r="L451">
        <v>0</v>
      </c>
      <c r="M451" t="str">
        <f>IF(tblPenalties[[#This Row],[total_yards]]=0, "Declined", "Accepted")</f>
        <v>Accepted</v>
      </c>
    </row>
    <row r="452" spans="1:13" x14ac:dyDescent="0.25">
      <c r="A452" s="1" t="s">
        <v>69</v>
      </c>
      <c r="B452" s="1" t="s">
        <v>40</v>
      </c>
      <c r="C452" s="1" t="s">
        <v>129</v>
      </c>
      <c r="D452">
        <v>12</v>
      </c>
      <c r="E452">
        <v>144</v>
      </c>
      <c r="F452">
        <v>12</v>
      </c>
      <c r="J452" s="1" t="s">
        <v>130</v>
      </c>
      <c r="K452">
        <v>1</v>
      </c>
      <c r="L452">
        <v>0</v>
      </c>
      <c r="M452" t="str">
        <f>IF(tblPenalties[[#This Row],[total_yards]]=0, "Declined", "Accepted")</f>
        <v>Accepted</v>
      </c>
    </row>
    <row r="453" spans="1:13" x14ac:dyDescent="0.25">
      <c r="A453" s="1" t="s">
        <v>70</v>
      </c>
      <c r="B453" s="1" t="s">
        <v>21</v>
      </c>
      <c r="C453" s="1" t="s">
        <v>129</v>
      </c>
      <c r="D453">
        <v>9</v>
      </c>
      <c r="E453">
        <v>141</v>
      </c>
      <c r="F453">
        <v>15.67</v>
      </c>
      <c r="J453" s="1" t="s">
        <v>130</v>
      </c>
      <c r="K453">
        <v>1</v>
      </c>
      <c r="L453">
        <v>0</v>
      </c>
      <c r="M453" t="str">
        <f>IF(tblPenalties[[#This Row],[total_yards]]=0, "Declined", "Accepted")</f>
        <v>Accepted</v>
      </c>
    </row>
    <row r="454" spans="1:13" x14ac:dyDescent="0.25">
      <c r="A454" s="1" t="s">
        <v>71</v>
      </c>
      <c r="B454" s="1" t="s">
        <v>34</v>
      </c>
      <c r="C454" s="1" t="s">
        <v>129</v>
      </c>
      <c r="D454">
        <v>19</v>
      </c>
      <c r="E454">
        <v>179</v>
      </c>
      <c r="F454">
        <v>9.42</v>
      </c>
      <c r="J454" s="1" t="s">
        <v>130</v>
      </c>
      <c r="K454">
        <v>1</v>
      </c>
      <c r="L454">
        <v>0</v>
      </c>
      <c r="M454" t="str">
        <f>IF(tblPenalties[[#This Row],[total_yards]]=0, "Declined", "Accepted")</f>
        <v>Accepted</v>
      </c>
    </row>
    <row r="455" spans="1:13" x14ac:dyDescent="0.25">
      <c r="A455" s="1" t="s">
        <v>121</v>
      </c>
      <c r="B455" s="1" t="s">
        <v>28</v>
      </c>
      <c r="C455" s="1" t="s">
        <v>129</v>
      </c>
      <c r="D455">
        <v>14</v>
      </c>
      <c r="E455">
        <v>112</v>
      </c>
      <c r="F455">
        <v>8</v>
      </c>
      <c r="J455" s="1" t="s">
        <v>130</v>
      </c>
      <c r="K455">
        <v>1</v>
      </c>
      <c r="L455">
        <v>0</v>
      </c>
      <c r="M455" t="str">
        <f>IF(tblPenalties[[#This Row],[total_yards]]=0, "Declined", "Accepted")</f>
        <v>Accepted</v>
      </c>
    </row>
    <row r="456" spans="1:13" x14ac:dyDescent="0.25">
      <c r="A456" s="1" t="s">
        <v>72</v>
      </c>
      <c r="B456" s="1" t="s">
        <v>34</v>
      </c>
      <c r="C456" s="1" t="s">
        <v>129</v>
      </c>
      <c r="D456">
        <v>11</v>
      </c>
      <c r="E456">
        <v>60</v>
      </c>
      <c r="F456">
        <v>5.45</v>
      </c>
      <c r="J456" s="1" t="s">
        <v>130</v>
      </c>
      <c r="K456">
        <v>1</v>
      </c>
      <c r="L456">
        <v>0</v>
      </c>
      <c r="M456" t="str">
        <f>IF(tblPenalties[[#This Row],[total_yards]]=0, "Declined", "Accepted")</f>
        <v>Accepted</v>
      </c>
    </row>
    <row r="457" spans="1:13" x14ac:dyDescent="0.25">
      <c r="A457" s="1" t="s">
        <v>148</v>
      </c>
      <c r="B457" s="1" t="s">
        <v>52</v>
      </c>
      <c r="C457" s="1" t="s">
        <v>129</v>
      </c>
      <c r="D457">
        <v>8</v>
      </c>
      <c r="E457">
        <v>68</v>
      </c>
      <c r="F457">
        <v>8.5</v>
      </c>
      <c r="J457" s="1" t="s">
        <v>130</v>
      </c>
      <c r="K457">
        <v>1</v>
      </c>
      <c r="L457">
        <v>0</v>
      </c>
      <c r="M457" t="str">
        <f>IF(tblPenalties[[#This Row],[total_yards]]=0, "Declined", "Accepted")</f>
        <v>Accepted</v>
      </c>
    </row>
    <row r="458" spans="1:13" x14ac:dyDescent="0.25">
      <c r="A458" s="1" t="s">
        <v>123</v>
      </c>
      <c r="B458" s="1" t="s">
        <v>26</v>
      </c>
      <c r="C458" s="1" t="s">
        <v>129</v>
      </c>
      <c r="D458">
        <v>10</v>
      </c>
      <c r="E458">
        <v>133</v>
      </c>
      <c r="F458">
        <v>13.3</v>
      </c>
      <c r="J458" s="1" t="s">
        <v>130</v>
      </c>
      <c r="K458">
        <v>1</v>
      </c>
      <c r="L458">
        <v>0</v>
      </c>
      <c r="M458" t="str">
        <f>IF(tblPenalties[[#This Row],[total_yards]]=0, "Declined", "Accepted")</f>
        <v>Accepted</v>
      </c>
    </row>
    <row r="459" spans="1:13" x14ac:dyDescent="0.25">
      <c r="A459" s="1" t="s">
        <v>73</v>
      </c>
      <c r="B459" s="1" t="s">
        <v>26</v>
      </c>
      <c r="C459" s="1" t="s">
        <v>129</v>
      </c>
      <c r="D459">
        <v>14</v>
      </c>
      <c r="E459">
        <v>252</v>
      </c>
      <c r="F459">
        <v>18</v>
      </c>
      <c r="J459" s="1" t="s">
        <v>130</v>
      </c>
      <c r="K459">
        <v>1</v>
      </c>
      <c r="L459">
        <v>0</v>
      </c>
      <c r="M459" t="str">
        <f>IF(tblPenalties[[#This Row],[total_yards]]=0, "Declined", "Accepted")</f>
        <v>Accepted</v>
      </c>
    </row>
    <row r="460" spans="1:13" x14ac:dyDescent="0.25">
      <c r="A460" s="1" t="s">
        <v>74</v>
      </c>
      <c r="B460" s="1" t="s">
        <v>40</v>
      </c>
      <c r="C460" s="1" t="s">
        <v>129</v>
      </c>
      <c r="D460">
        <v>15</v>
      </c>
      <c r="E460">
        <v>74</v>
      </c>
      <c r="F460">
        <v>4.93</v>
      </c>
      <c r="J460" s="1" t="s">
        <v>130</v>
      </c>
      <c r="K460">
        <v>1</v>
      </c>
      <c r="L460">
        <v>0</v>
      </c>
      <c r="M460" t="str">
        <f>IF(tblPenalties[[#This Row],[total_yards]]=0, "Declined", "Accepted")</f>
        <v>Accepted</v>
      </c>
    </row>
    <row r="461" spans="1:13" x14ac:dyDescent="0.25">
      <c r="A461" s="1" t="s">
        <v>150</v>
      </c>
      <c r="B461" s="1" t="s">
        <v>28</v>
      </c>
      <c r="C461" s="1" t="s">
        <v>129</v>
      </c>
      <c r="D461">
        <v>17</v>
      </c>
      <c r="E461">
        <v>149</v>
      </c>
      <c r="F461">
        <v>8.76</v>
      </c>
      <c r="J461" s="1" t="s">
        <v>130</v>
      </c>
      <c r="K461">
        <v>1</v>
      </c>
      <c r="L461">
        <v>0</v>
      </c>
      <c r="M461" t="str">
        <f>IF(tblPenalties[[#This Row],[total_yards]]=0, "Declined", "Accepted")</f>
        <v>Accepted</v>
      </c>
    </row>
    <row r="462" spans="1:13" x14ac:dyDescent="0.25">
      <c r="A462" s="1" t="s">
        <v>140</v>
      </c>
      <c r="B462" s="1" t="s">
        <v>52</v>
      </c>
      <c r="C462" s="1" t="s">
        <v>129</v>
      </c>
      <c r="D462">
        <v>6</v>
      </c>
      <c r="E462">
        <v>39</v>
      </c>
      <c r="F462">
        <v>6.5</v>
      </c>
      <c r="J462" s="1" t="s">
        <v>130</v>
      </c>
      <c r="K462">
        <v>1</v>
      </c>
      <c r="L462">
        <v>0</v>
      </c>
      <c r="M462" t="str">
        <f>IF(tblPenalties[[#This Row],[total_yards]]=0, "Declined", "Accepted")</f>
        <v>Accepted</v>
      </c>
    </row>
    <row r="463" spans="1:13" x14ac:dyDescent="0.25">
      <c r="A463" s="1" t="s">
        <v>75</v>
      </c>
      <c r="B463" s="1" t="s">
        <v>13</v>
      </c>
      <c r="C463" s="1" t="s">
        <v>129</v>
      </c>
      <c r="D463">
        <v>11</v>
      </c>
      <c r="E463">
        <v>83</v>
      </c>
      <c r="F463">
        <v>7.55</v>
      </c>
      <c r="J463" s="1" t="s">
        <v>130</v>
      </c>
      <c r="K463">
        <v>1</v>
      </c>
      <c r="L463">
        <v>0</v>
      </c>
      <c r="M463" t="str">
        <f>IF(tblPenalties[[#This Row],[total_yards]]=0, "Declined", "Accepted")</f>
        <v>Accepted</v>
      </c>
    </row>
    <row r="464" spans="1:13" x14ac:dyDescent="0.25">
      <c r="A464" s="1" t="s">
        <v>76</v>
      </c>
      <c r="B464" s="1" t="s">
        <v>21</v>
      </c>
      <c r="C464" s="1" t="s">
        <v>129</v>
      </c>
      <c r="D464">
        <v>15</v>
      </c>
      <c r="E464">
        <v>142</v>
      </c>
      <c r="F464">
        <v>9.4700000000000006</v>
      </c>
      <c r="J464" s="1" t="s">
        <v>130</v>
      </c>
      <c r="K464">
        <v>1</v>
      </c>
      <c r="L464">
        <v>0</v>
      </c>
      <c r="M464" t="str">
        <f>IF(tblPenalties[[#This Row],[total_yards]]=0, "Declined", "Accepted")</f>
        <v>Accepted</v>
      </c>
    </row>
    <row r="465" spans="1:13" x14ac:dyDescent="0.25">
      <c r="A465" s="1" t="s">
        <v>78</v>
      </c>
      <c r="B465" s="1" t="s">
        <v>79</v>
      </c>
      <c r="C465" s="1" t="s">
        <v>129</v>
      </c>
      <c r="D465">
        <v>16</v>
      </c>
      <c r="E465">
        <v>163</v>
      </c>
      <c r="F465">
        <v>10.19</v>
      </c>
      <c r="J465" s="1" t="s">
        <v>130</v>
      </c>
      <c r="K465">
        <v>1</v>
      </c>
      <c r="L465">
        <v>0</v>
      </c>
      <c r="M465" t="str">
        <f>IF(tblPenalties[[#This Row],[total_yards]]=0, "Declined", "Accepted")</f>
        <v>Accepted</v>
      </c>
    </row>
    <row r="466" spans="1:13" x14ac:dyDescent="0.25">
      <c r="A466" s="1" t="s">
        <v>80</v>
      </c>
      <c r="B466" s="1" t="s">
        <v>52</v>
      </c>
      <c r="C466" s="1" t="s">
        <v>129</v>
      </c>
      <c r="D466">
        <v>3</v>
      </c>
      <c r="E466">
        <v>1</v>
      </c>
      <c r="F466">
        <v>0.33</v>
      </c>
      <c r="J466" s="1" t="s">
        <v>130</v>
      </c>
      <c r="K466">
        <v>1</v>
      </c>
      <c r="L466">
        <v>0</v>
      </c>
      <c r="M466" t="str">
        <f>IF(tblPenalties[[#This Row],[total_yards]]=0, "Declined", "Accepted")</f>
        <v>Accepted</v>
      </c>
    </row>
    <row r="467" spans="1:13" x14ac:dyDescent="0.25">
      <c r="A467" s="1" t="s">
        <v>81</v>
      </c>
      <c r="B467" s="1" t="s">
        <v>52</v>
      </c>
      <c r="C467" s="1" t="s">
        <v>129</v>
      </c>
      <c r="D467">
        <v>12</v>
      </c>
      <c r="E467">
        <v>103</v>
      </c>
      <c r="F467">
        <v>8.58</v>
      </c>
      <c r="J467" s="1" t="s">
        <v>130</v>
      </c>
      <c r="K467">
        <v>1</v>
      </c>
      <c r="L467">
        <v>0</v>
      </c>
      <c r="M467" t="str">
        <f>IF(tblPenalties[[#This Row],[total_yards]]=0, "Declined", "Accepted")</f>
        <v>Accepted</v>
      </c>
    </row>
    <row r="468" spans="1:13" x14ac:dyDescent="0.25">
      <c r="A468" s="1" t="s">
        <v>82</v>
      </c>
      <c r="B468" s="1" t="s">
        <v>34</v>
      </c>
      <c r="C468" s="1" t="s">
        <v>129</v>
      </c>
      <c r="D468">
        <v>8</v>
      </c>
      <c r="E468">
        <v>132</v>
      </c>
      <c r="F468">
        <v>16.5</v>
      </c>
      <c r="J468" s="1" t="s">
        <v>130</v>
      </c>
      <c r="K468">
        <v>1</v>
      </c>
      <c r="L468">
        <v>0</v>
      </c>
      <c r="M468" t="str">
        <f>IF(tblPenalties[[#This Row],[total_yards]]=0, "Declined", "Accepted")</f>
        <v>Accepted</v>
      </c>
    </row>
    <row r="469" spans="1:13" x14ac:dyDescent="0.25">
      <c r="A469" s="1" t="s">
        <v>83</v>
      </c>
      <c r="B469" s="1" t="s">
        <v>52</v>
      </c>
      <c r="C469" s="1" t="s">
        <v>129</v>
      </c>
      <c r="D469">
        <v>7</v>
      </c>
      <c r="E469">
        <v>32</v>
      </c>
      <c r="F469">
        <v>4.57</v>
      </c>
      <c r="J469" s="1" t="s">
        <v>130</v>
      </c>
      <c r="K469">
        <v>1</v>
      </c>
      <c r="L469">
        <v>0</v>
      </c>
      <c r="M469" t="str">
        <f>IF(tblPenalties[[#This Row],[total_yards]]=0, "Declined", "Accepted")</f>
        <v>Accepted</v>
      </c>
    </row>
    <row r="470" spans="1:13" x14ac:dyDescent="0.25">
      <c r="A470" s="1" t="s">
        <v>84</v>
      </c>
      <c r="B470" s="1" t="s">
        <v>13</v>
      </c>
      <c r="C470" s="1" t="s">
        <v>129</v>
      </c>
      <c r="D470">
        <v>19</v>
      </c>
      <c r="E470">
        <v>112</v>
      </c>
      <c r="F470">
        <v>5.89</v>
      </c>
      <c r="J470" s="1" t="s">
        <v>130</v>
      </c>
      <c r="K470">
        <v>1</v>
      </c>
      <c r="L470">
        <v>0</v>
      </c>
      <c r="M470" t="str">
        <f>IF(tblPenalties[[#This Row],[total_yards]]=0, "Declined", "Accepted")</f>
        <v>Accepted</v>
      </c>
    </row>
    <row r="471" spans="1:13" x14ac:dyDescent="0.25">
      <c r="A471" s="1" t="s">
        <v>85</v>
      </c>
      <c r="B471" s="1" t="s">
        <v>28</v>
      </c>
      <c r="C471" s="1" t="s">
        <v>129</v>
      </c>
      <c r="D471">
        <v>18</v>
      </c>
      <c r="E471">
        <v>180</v>
      </c>
      <c r="F471">
        <v>10</v>
      </c>
      <c r="J471" s="1" t="s">
        <v>130</v>
      </c>
      <c r="K471">
        <v>1</v>
      </c>
      <c r="L471">
        <v>0</v>
      </c>
      <c r="M471" t="str">
        <f>IF(tblPenalties[[#This Row],[total_yards]]=0, "Declined", "Accepted")</f>
        <v>Accepted</v>
      </c>
    </row>
    <row r="472" spans="1:13" x14ac:dyDescent="0.25">
      <c r="A472" s="1" t="s">
        <v>86</v>
      </c>
      <c r="B472" s="1" t="s">
        <v>40</v>
      </c>
      <c r="C472" s="1" t="s">
        <v>129</v>
      </c>
      <c r="D472">
        <v>13</v>
      </c>
      <c r="E472">
        <v>153</v>
      </c>
      <c r="F472">
        <v>11.77</v>
      </c>
      <c r="J472" s="1" t="s">
        <v>130</v>
      </c>
      <c r="K472">
        <v>1</v>
      </c>
      <c r="L472">
        <v>0</v>
      </c>
      <c r="M472" t="str">
        <f>IF(tblPenalties[[#This Row],[total_yards]]=0, "Declined", "Accepted")</f>
        <v>Accepted</v>
      </c>
    </row>
    <row r="473" spans="1:13" x14ac:dyDescent="0.25">
      <c r="A473" s="1" t="s">
        <v>87</v>
      </c>
      <c r="B473" s="1" t="s">
        <v>26</v>
      </c>
      <c r="C473" s="1" t="s">
        <v>129</v>
      </c>
      <c r="D473">
        <v>17</v>
      </c>
      <c r="E473">
        <v>134</v>
      </c>
      <c r="F473">
        <v>7.88</v>
      </c>
      <c r="J473" s="1" t="s">
        <v>130</v>
      </c>
      <c r="K473">
        <v>1</v>
      </c>
      <c r="L473">
        <v>0</v>
      </c>
      <c r="M473" t="str">
        <f>IF(tblPenalties[[#This Row],[total_yards]]=0, "Declined", "Accepted")</f>
        <v>Accepted</v>
      </c>
    </row>
    <row r="474" spans="1:13" x14ac:dyDescent="0.25">
      <c r="A474" s="1" t="s">
        <v>149</v>
      </c>
      <c r="B474" s="1" t="s">
        <v>26</v>
      </c>
      <c r="C474" s="1" t="s">
        <v>129</v>
      </c>
      <c r="D474">
        <v>15</v>
      </c>
      <c r="E474">
        <v>120</v>
      </c>
      <c r="F474">
        <v>8</v>
      </c>
      <c r="J474" s="1" t="s">
        <v>130</v>
      </c>
      <c r="K474">
        <v>1</v>
      </c>
      <c r="L474">
        <v>0</v>
      </c>
      <c r="M474" t="str">
        <f>IF(tblPenalties[[#This Row],[total_yards]]=0, "Declined", "Accepted")</f>
        <v>Accepted</v>
      </c>
    </row>
    <row r="475" spans="1:13" x14ac:dyDescent="0.25">
      <c r="A475" s="1" t="s">
        <v>88</v>
      </c>
      <c r="B475" s="1" t="s">
        <v>19</v>
      </c>
      <c r="C475" s="1" t="s">
        <v>129</v>
      </c>
      <c r="D475">
        <v>11</v>
      </c>
      <c r="E475">
        <v>72</v>
      </c>
      <c r="F475">
        <v>6.55</v>
      </c>
      <c r="J475" s="1" t="s">
        <v>130</v>
      </c>
      <c r="K475">
        <v>1</v>
      </c>
      <c r="L475">
        <v>0</v>
      </c>
      <c r="M475" t="str">
        <f>IF(tblPenalties[[#This Row],[total_yards]]=0, "Declined", "Accepted")</f>
        <v>Accepted</v>
      </c>
    </row>
    <row r="476" spans="1:13" x14ac:dyDescent="0.25">
      <c r="A476" s="1" t="s">
        <v>89</v>
      </c>
      <c r="B476" s="1" t="s">
        <v>13</v>
      </c>
      <c r="C476" s="1" t="s">
        <v>129</v>
      </c>
      <c r="D476">
        <v>13</v>
      </c>
      <c r="E476">
        <v>79</v>
      </c>
      <c r="F476">
        <v>6.08</v>
      </c>
      <c r="J476" s="1" t="s">
        <v>130</v>
      </c>
      <c r="K476">
        <v>1</v>
      </c>
      <c r="L476">
        <v>0</v>
      </c>
      <c r="M476" t="str">
        <f>IF(tblPenalties[[#This Row],[total_yards]]=0, "Declined", "Accepted")</f>
        <v>Accepted</v>
      </c>
    </row>
    <row r="477" spans="1:13" x14ac:dyDescent="0.25">
      <c r="A477" s="1" t="s">
        <v>141</v>
      </c>
      <c r="B477" s="1" t="s">
        <v>28</v>
      </c>
      <c r="C477" s="1" t="s">
        <v>129</v>
      </c>
      <c r="D477">
        <v>12</v>
      </c>
      <c r="E477">
        <v>123</v>
      </c>
      <c r="F477">
        <v>10.25</v>
      </c>
      <c r="J477" s="1" t="s">
        <v>130</v>
      </c>
      <c r="K477">
        <v>1</v>
      </c>
      <c r="L477">
        <v>0</v>
      </c>
      <c r="M477" t="str">
        <f>IF(tblPenalties[[#This Row],[total_yards]]=0, "Declined", "Accepted")</f>
        <v>Accepted</v>
      </c>
    </row>
    <row r="478" spans="1:13" x14ac:dyDescent="0.25">
      <c r="A478" s="1" t="s">
        <v>90</v>
      </c>
      <c r="B478" s="1" t="s">
        <v>28</v>
      </c>
      <c r="C478" s="1" t="s">
        <v>129</v>
      </c>
      <c r="D478">
        <v>13</v>
      </c>
      <c r="E478">
        <v>139</v>
      </c>
      <c r="F478">
        <v>10.69</v>
      </c>
      <c r="J478" s="1" t="s">
        <v>130</v>
      </c>
      <c r="K478">
        <v>1</v>
      </c>
      <c r="L478">
        <v>0</v>
      </c>
      <c r="M478" t="str">
        <f>IF(tblPenalties[[#This Row],[total_yards]]=0, "Declined", "Accepted")</f>
        <v>Accepted</v>
      </c>
    </row>
    <row r="479" spans="1:13" x14ac:dyDescent="0.25">
      <c r="A479" s="1" t="s">
        <v>91</v>
      </c>
      <c r="B479" s="1" t="s">
        <v>17</v>
      </c>
      <c r="C479" s="1" t="s">
        <v>129</v>
      </c>
      <c r="D479">
        <v>14</v>
      </c>
      <c r="E479">
        <v>159</v>
      </c>
      <c r="F479">
        <v>11.36</v>
      </c>
      <c r="J479" s="1" t="s">
        <v>130</v>
      </c>
      <c r="K479">
        <v>1</v>
      </c>
      <c r="L479">
        <v>0</v>
      </c>
      <c r="M479" t="str">
        <f>IF(tblPenalties[[#This Row],[total_yards]]=0, "Declined", "Accepted")</f>
        <v>Accepted</v>
      </c>
    </row>
    <row r="480" spans="1:13" x14ac:dyDescent="0.25">
      <c r="A480" s="1" t="s">
        <v>92</v>
      </c>
      <c r="B480" s="1" t="s">
        <v>34</v>
      </c>
      <c r="C480" s="1" t="s">
        <v>129</v>
      </c>
      <c r="D480">
        <v>7</v>
      </c>
      <c r="E480">
        <v>67</v>
      </c>
      <c r="F480">
        <v>9.57</v>
      </c>
      <c r="J480" s="1" t="s">
        <v>130</v>
      </c>
      <c r="K480">
        <v>1</v>
      </c>
      <c r="L480">
        <v>0</v>
      </c>
      <c r="M480" t="str">
        <f>IF(tblPenalties[[#This Row],[total_yards]]=0, "Declined", "Accepted")</f>
        <v>Accepted</v>
      </c>
    </row>
    <row r="481" spans="1:13" x14ac:dyDescent="0.25">
      <c r="A481" s="1" t="s">
        <v>131</v>
      </c>
      <c r="B481" s="1" t="s">
        <v>13</v>
      </c>
      <c r="C481" s="1" t="s">
        <v>129</v>
      </c>
      <c r="D481">
        <v>16</v>
      </c>
      <c r="E481">
        <v>135</v>
      </c>
      <c r="F481">
        <v>8.44</v>
      </c>
      <c r="J481" s="1" t="s">
        <v>130</v>
      </c>
      <c r="K481">
        <v>1</v>
      </c>
      <c r="L481">
        <v>0</v>
      </c>
      <c r="M481" t="str">
        <f>IF(tblPenalties[[#This Row],[total_yards]]=0, "Declined", "Accepted")</f>
        <v>Accepted</v>
      </c>
    </row>
    <row r="482" spans="1:13" x14ac:dyDescent="0.25">
      <c r="A482" s="1" t="s">
        <v>93</v>
      </c>
      <c r="B482" s="1" t="s">
        <v>21</v>
      </c>
      <c r="C482" s="1" t="s">
        <v>129</v>
      </c>
      <c r="D482">
        <v>12</v>
      </c>
      <c r="E482">
        <v>120</v>
      </c>
      <c r="F482">
        <v>10</v>
      </c>
      <c r="J482" s="1" t="s">
        <v>130</v>
      </c>
      <c r="K482">
        <v>1</v>
      </c>
      <c r="L482">
        <v>0</v>
      </c>
      <c r="M482" t="str">
        <f>IF(tblPenalties[[#This Row],[total_yards]]=0, "Declined", "Accepted")</f>
        <v>Accepted</v>
      </c>
    </row>
    <row r="483" spans="1:13" x14ac:dyDescent="0.25">
      <c r="A483" s="1" t="s">
        <v>94</v>
      </c>
      <c r="B483" s="1" t="s">
        <v>13</v>
      </c>
      <c r="C483" s="1" t="s">
        <v>129</v>
      </c>
      <c r="D483">
        <v>10</v>
      </c>
      <c r="E483">
        <v>48</v>
      </c>
      <c r="F483">
        <v>4.8</v>
      </c>
      <c r="J483" s="1" t="s">
        <v>130</v>
      </c>
      <c r="K483">
        <v>1</v>
      </c>
      <c r="L483">
        <v>0</v>
      </c>
      <c r="M483" t="str">
        <f>IF(tblPenalties[[#This Row],[total_yards]]=0, "Declined", "Accepted")</f>
        <v>Accepted</v>
      </c>
    </row>
    <row r="484" spans="1:13" x14ac:dyDescent="0.25">
      <c r="A484" s="1" t="s">
        <v>95</v>
      </c>
      <c r="B484" s="1" t="s">
        <v>34</v>
      </c>
      <c r="C484" s="1" t="s">
        <v>129</v>
      </c>
      <c r="D484">
        <v>17</v>
      </c>
      <c r="E484">
        <v>197</v>
      </c>
      <c r="F484">
        <v>11.59</v>
      </c>
      <c r="J484" s="1" t="s">
        <v>130</v>
      </c>
      <c r="K484">
        <v>1</v>
      </c>
      <c r="L484">
        <v>0</v>
      </c>
      <c r="M484" t="str">
        <f>IF(tblPenalties[[#This Row],[total_yards]]=0, "Declined", "Accepted")</f>
        <v>Accepted</v>
      </c>
    </row>
    <row r="485" spans="1:13" x14ac:dyDescent="0.25">
      <c r="A485" s="1" t="s">
        <v>96</v>
      </c>
      <c r="B485" s="1" t="s">
        <v>34</v>
      </c>
      <c r="C485" s="1" t="s">
        <v>129</v>
      </c>
      <c r="D485">
        <v>8</v>
      </c>
      <c r="E485">
        <v>27</v>
      </c>
      <c r="F485">
        <v>3.38</v>
      </c>
      <c r="J485" s="1" t="s">
        <v>130</v>
      </c>
      <c r="K485">
        <v>1</v>
      </c>
      <c r="L485">
        <v>0</v>
      </c>
      <c r="M485" t="str">
        <f>IF(tblPenalties[[#This Row],[total_yards]]=0, "Declined", "Accepted")</f>
        <v>Accepted</v>
      </c>
    </row>
    <row r="486" spans="1:13" x14ac:dyDescent="0.25">
      <c r="A486" s="1" t="s">
        <v>97</v>
      </c>
      <c r="B486" s="1" t="s">
        <v>34</v>
      </c>
      <c r="C486" s="1" t="s">
        <v>129</v>
      </c>
      <c r="D486">
        <v>15</v>
      </c>
      <c r="E486">
        <v>191</v>
      </c>
      <c r="F486">
        <v>12.73</v>
      </c>
      <c r="J486" s="1" t="s">
        <v>130</v>
      </c>
      <c r="K486">
        <v>1</v>
      </c>
      <c r="L486">
        <v>0</v>
      </c>
      <c r="M486" t="str">
        <f>IF(tblPenalties[[#This Row],[total_yards]]=0, "Declined", "Accepted")</f>
        <v>Accepted</v>
      </c>
    </row>
    <row r="487" spans="1:13" x14ac:dyDescent="0.25">
      <c r="A487" s="1" t="s">
        <v>98</v>
      </c>
      <c r="B487" s="1" t="s">
        <v>17</v>
      </c>
      <c r="C487" s="1" t="s">
        <v>129</v>
      </c>
      <c r="D487">
        <v>12</v>
      </c>
      <c r="E487">
        <v>100</v>
      </c>
      <c r="F487">
        <v>8.33</v>
      </c>
      <c r="J487" s="1" t="s">
        <v>130</v>
      </c>
      <c r="K487">
        <v>1</v>
      </c>
      <c r="L487">
        <v>0</v>
      </c>
      <c r="M487" t="str">
        <f>IF(tblPenalties[[#This Row],[total_yards]]=0, "Declined", "Accepted")</f>
        <v>Accepted</v>
      </c>
    </row>
    <row r="488" spans="1:13" x14ac:dyDescent="0.25">
      <c r="A488" s="1" t="s">
        <v>142</v>
      </c>
      <c r="B488" s="1" t="s">
        <v>52</v>
      </c>
      <c r="C488" s="1" t="s">
        <v>129</v>
      </c>
      <c r="D488">
        <v>12</v>
      </c>
      <c r="E488">
        <v>73</v>
      </c>
      <c r="F488">
        <v>6.08</v>
      </c>
      <c r="J488" s="1" t="s">
        <v>130</v>
      </c>
      <c r="K488">
        <v>1</v>
      </c>
      <c r="L488">
        <v>0</v>
      </c>
      <c r="M488" t="str">
        <f>IF(tblPenalties[[#This Row],[total_yards]]=0, "Declined", "Accepted")</f>
        <v>Accepted</v>
      </c>
    </row>
    <row r="489" spans="1:13" x14ac:dyDescent="0.25">
      <c r="A489" s="1" t="s">
        <v>99</v>
      </c>
      <c r="B489" s="1" t="s">
        <v>100</v>
      </c>
      <c r="C489" s="1" t="s">
        <v>129</v>
      </c>
      <c r="D489">
        <v>21</v>
      </c>
      <c r="E489">
        <v>140</v>
      </c>
      <c r="F489">
        <v>6.67</v>
      </c>
      <c r="J489" s="1" t="s">
        <v>130</v>
      </c>
      <c r="K489">
        <v>1</v>
      </c>
      <c r="L489">
        <v>0</v>
      </c>
      <c r="M489" t="str">
        <f>IF(tblPenalties[[#This Row],[total_yards]]=0, "Declined", "Accepted")</f>
        <v>Accepted</v>
      </c>
    </row>
    <row r="490" spans="1:13" x14ac:dyDescent="0.25">
      <c r="A490" s="1" t="s">
        <v>151</v>
      </c>
      <c r="B490" s="1" t="s">
        <v>13</v>
      </c>
      <c r="C490" s="1" t="s">
        <v>129</v>
      </c>
      <c r="D490">
        <v>19</v>
      </c>
      <c r="E490">
        <v>216</v>
      </c>
      <c r="F490">
        <v>11.37</v>
      </c>
      <c r="J490" s="1" t="s">
        <v>130</v>
      </c>
      <c r="K490">
        <v>1</v>
      </c>
      <c r="L490">
        <v>0</v>
      </c>
      <c r="M490" t="str">
        <f>IF(tblPenalties[[#This Row],[total_yards]]=0, "Declined", "Accepted")</f>
        <v>Accepted</v>
      </c>
    </row>
    <row r="491" spans="1:13" x14ac:dyDescent="0.25">
      <c r="A491" s="1" t="s">
        <v>101</v>
      </c>
      <c r="B491" s="1" t="s">
        <v>21</v>
      </c>
      <c r="C491" s="1" t="s">
        <v>129</v>
      </c>
      <c r="D491">
        <v>17</v>
      </c>
      <c r="E491">
        <v>161</v>
      </c>
      <c r="F491">
        <v>9.4700000000000006</v>
      </c>
      <c r="J491" s="1" t="s">
        <v>130</v>
      </c>
      <c r="K491">
        <v>1</v>
      </c>
      <c r="L491">
        <v>0</v>
      </c>
      <c r="M491" t="str">
        <f>IF(tblPenalties[[#This Row],[total_yards]]=0, "Declined", "Accepted")</f>
        <v>Accepted</v>
      </c>
    </row>
    <row r="492" spans="1:13" x14ac:dyDescent="0.25">
      <c r="A492" s="1" t="s">
        <v>102</v>
      </c>
      <c r="B492" s="1" t="s">
        <v>26</v>
      </c>
      <c r="C492" s="1" t="s">
        <v>129</v>
      </c>
      <c r="D492">
        <v>19</v>
      </c>
      <c r="E492">
        <v>202</v>
      </c>
      <c r="F492">
        <v>10.63</v>
      </c>
      <c r="J492" s="1" t="s">
        <v>130</v>
      </c>
      <c r="K492">
        <v>1</v>
      </c>
      <c r="L492">
        <v>0</v>
      </c>
      <c r="M492" t="str">
        <f>IF(tblPenalties[[#This Row],[total_yards]]=0, "Declined", "Accepted")</f>
        <v>Accepted</v>
      </c>
    </row>
    <row r="493" spans="1:13" x14ac:dyDescent="0.25">
      <c r="A493" s="1" t="s">
        <v>103</v>
      </c>
      <c r="B493" s="1" t="s">
        <v>34</v>
      </c>
      <c r="C493" s="1" t="s">
        <v>129</v>
      </c>
      <c r="D493">
        <v>11</v>
      </c>
      <c r="E493">
        <v>125</v>
      </c>
      <c r="F493">
        <v>11.36</v>
      </c>
      <c r="J493" s="1" t="s">
        <v>130</v>
      </c>
      <c r="K493">
        <v>1</v>
      </c>
      <c r="L493">
        <v>0</v>
      </c>
      <c r="M493" t="str">
        <f>IF(tblPenalties[[#This Row],[total_yards]]=0, "Declined", "Accepted")</f>
        <v>Accepted</v>
      </c>
    </row>
    <row r="494" spans="1:13" x14ac:dyDescent="0.25">
      <c r="A494" s="1" t="s">
        <v>143</v>
      </c>
      <c r="B494" s="1" t="s">
        <v>40</v>
      </c>
      <c r="C494" s="1" t="s">
        <v>129</v>
      </c>
      <c r="D494">
        <v>14</v>
      </c>
      <c r="E494">
        <v>188</v>
      </c>
      <c r="F494">
        <v>13.43</v>
      </c>
      <c r="J494" s="1" t="s">
        <v>130</v>
      </c>
      <c r="K494">
        <v>1</v>
      </c>
      <c r="L494">
        <v>0</v>
      </c>
      <c r="M494" t="str">
        <f>IF(tblPenalties[[#This Row],[total_yards]]=0, "Declined", "Accepted")</f>
        <v>Accepted</v>
      </c>
    </row>
    <row r="495" spans="1:13" x14ac:dyDescent="0.25">
      <c r="A495" s="1" t="s">
        <v>104</v>
      </c>
      <c r="B495" s="1" t="s">
        <v>34</v>
      </c>
      <c r="C495" s="1" t="s">
        <v>129</v>
      </c>
      <c r="D495">
        <v>11</v>
      </c>
      <c r="E495">
        <v>110</v>
      </c>
      <c r="F495">
        <v>10</v>
      </c>
      <c r="J495" s="1" t="s">
        <v>130</v>
      </c>
      <c r="K495">
        <v>1</v>
      </c>
      <c r="L495">
        <v>0</v>
      </c>
      <c r="M495" t="str">
        <f>IF(tblPenalties[[#This Row],[total_yards]]=0, "Declined", "Accepted")</f>
        <v>Accepted</v>
      </c>
    </row>
    <row r="496" spans="1:13" x14ac:dyDescent="0.25">
      <c r="A496" s="1" t="s">
        <v>105</v>
      </c>
      <c r="B496" s="1" t="s">
        <v>26</v>
      </c>
      <c r="C496" s="1" t="s">
        <v>129</v>
      </c>
      <c r="D496">
        <v>26</v>
      </c>
      <c r="E496">
        <v>181</v>
      </c>
      <c r="F496">
        <v>6.96</v>
      </c>
      <c r="J496" s="1" t="s">
        <v>130</v>
      </c>
      <c r="K496">
        <v>1</v>
      </c>
      <c r="L496">
        <v>0</v>
      </c>
      <c r="M496" t="str">
        <f>IF(tblPenalties[[#This Row],[total_yards]]=0, "Declined", "Accepted")</f>
        <v>Accepted</v>
      </c>
    </row>
    <row r="497" spans="1:13" x14ac:dyDescent="0.25">
      <c r="A497" s="1" t="s">
        <v>106</v>
      </c>
      <c r="B497" s="1" t="s">
        <v>28</v>
      </c>
      <c r="C497" s="1" t="s">
        <v>129</v>
      </c>
      <c r="D497">
        <v>11</v>
      </c>
      <c r="E497">
        <v>85</v>
      </c>
      <c r="F497">
        <v>7.73</v>
      </c>
      <c r="J497" s="1" t="s">
        <v>130</v>
      </c>
      <c r="K497">
        <v>1</v>
      </c>
      <c r="L497">
        <v>0</v>
      </c>
      <c r="M497" t="str">
        <f>IF(tblPenalties[[#This Row],[total_yards]]=0, "Declined", "Accepted")</f>
        <v>Accepted</v>
      </c>
    </row>
    <row r="498" spans="1:13" x14ac:dyDescent="0.25">
      <c r="A498" s="1" t="s">
        <v>107</v>
      </c>
      <c r="B498" s="1" t="s">
        <v>21</v>
      </c>
      <c r="C498" s="1" t="s">
        <v>129</v>
      </c>
      <c r="D498">
        <v>9</v>
      </c>
      <c r="E498">
        <v>47</v>
      </c>
      <c r="F498">
        <v>5.22</v>
      </c>
      <c r="J498" s="1" t="s">
        <v>130</v>
      </c>
      <c r="K498">
        <v>1</v>
      </c>
      <c r="L498">
        <v>0</v>
      </c>
      <c r="M498" t="str">
        <f>IF(tblPenalties[[#This Row],[total_yards]]=0, "Declined", "Accepted")</f>
        <v>Accepted</v>
      </c>
    </row>
    <row r="499" spans="1:13" x14ac:dyDescent="0.25">
      <c r="A499" s="1" t="s">
        <v>132</v>
      </c>
      <c r="B499" s="1" t="s">
        <v>40</v>
      </c>
      <c r="C499" s="1" t="s">
        <v>129</v>
      </c>
      <c r="D499">
        <v>13</v>
      </c>
      <c r="E499">
        <v>104</v>
      </c>
      <c r="F499">
        <v>8</v>
      </c>
      <c r="J499" s="1" t="s">
        <v>130</v>
      </c>
      <c r="K499">
        <v>1</v>
      </c>
      <c r="L499">
        <v>0</v>
      </c>
      <c r="M499" t="str">
        <f>IF(tblPenalties[[#This Row],[total_yards]]=0, "Declined", "Accepted")</f>
        <v>Accepted</v>
      </c>
    </row>
    <row r="500" spans="1:13" x14ac:dyDescent="0.25">
      <c r="A500" s="1" t="s">
        <v>108</v>
      </c>
      <c r="B500" s="1" t="s">
        <v>28</v>
      </c>
      <c r="C500" s="1" t="s">
        <v>129</v>
      </c>
      <c r="D500">
        <v>16</v>
      </c>
      <c r="E500">
        <v>206</v>
      </c>
      <c r="F500">
        <v>12.88</v>
      </c>
      <c r="J500" s="1" t="s">
        <v>130</v>
      </c>
      <c r="K500">
        <v>1</v>
      </c>
      <c r="L500">
        <v>0</v>
      </c>
      <c r="M500" t="str">
        <f>IF(tblPenalties[[#This Row],[total_yards]]=0, "Declined", "Accepted")</f>
        <v>Accepted</v>
      </c>
    </row>
    <row r="501" spans="1:13" x14ac:dyDescent="0.25">
      <c r="A501" s="1" t="s">
        <v>133</v>
      </c>
      <c r="B501" s="1" t="s">
        <v>52</v>
      </c>
      <c r="C501" s="1" t="s">
        <v>129</v>
      </c>
      <c r="D501">
        <v>8</v>
      </c>
      <c r="E501">
        <v>54</v>
      </c>
      <c r="F501">
        <v>6.75</v>
      </c>
      <c r="J501" s="1" t="s">
        <v>130</v>
      </c>
      <c r="K501">
        <v>1</v>
      </c>
      <c r="L501">
        <v>0</v>
      </c>
      <c r="M501" t="str">
        <f>IF(tblPenalties[[#This Row],[total_yards]]=0, "Declined", "Accepted")</f>
        <v>Accepted</v>
      </c>
    </row>
    <row r="502" spans="1:13" x14ac:dyDescent="0.25">
      <c r="A502" s="1" t="s">
        <v>109</v>
      </c>
      <c r="B502" s="1" t="s">
        <v>79</v>
      </c>
      <c r="C502" s="1" t="s">
        <v>129</v>
      </c>
      <c r="D502">
        <v>16</v>
      </c>
      <c r="E502">
        <v>136</v>
      </c>
      <c r="F502">
        <v>8.5</v>
      </c>
      <c r="J502" s="1" t="s">
        <v>130</v>
      </c>
      <c r="K502">
        <v>1</v>
      </c>
      <c r="L502">
        <v>0</v>
      </c>
      <c r="M502" t="str">
        <f>IF(tblPenalties[[#This Row],[total_yards]]=0, "Declined", "Accepted")</f>
        <v>Accepted</v>
      </c>
    </row>
    <row r="503" spans="1:13" x14ac:dyDescent="0.25">
      <c r="A503" s="1" t="s">
        <v>110</v>
      </c>
      <c r="B503" s="1" t="s">
        <v>17</v>
      </c>
      <c r="C503" s="1" t="s">
        <v>129</v>
      </c>
      <c r="D503">
        <v>12</v>
      </c>
      <c r="E503">
        <v>114</v>
      </c>
      <c r="F503">
        <v>9.5</v>
      </c>
      <c r="J503" s="1" t="s">
        <v>130</v>
      </c>
      <c r="K503">
        <v>1</v>
      </c>
      <c r="L503">
        <v>0</v>
      </c>
      <c r="M503" t="str">
        <f>IF(tblPenalties[[#This Row],[total_yards]]=0, "Declined", "Accepted")</f>
        <v>Accepted</v>
      </c>
    </row>
    <row r="504" spans="1:13" x14ac:dyDescent="0.25">
      <c r="A504" s="1" t="s">
        <v>111</v>
      </c>
      <c r="B504" s="1" t="s">
        <v>52</v>
      </c>
      <c r="C504" s="1" t="s">
        <v>129</v>
      </c>
      <c r="D504">
        <v>5</v>
      </c>
      <c r="E504">
        <v>20</v>
      </c>
      <c r="F504">
        <v>4</v>
      </c>
      <c r="J504" s="1" t="s">
        <v>130</v>
      </c>
      <c r="K504">
        <v>1</v>
      </c>
      <c r="L504">
        <v>0</v>
      </c>
      <c r="M504" t="str">
        <f>IF(tblPenalties[[#This Row],[total_yards]]=0, "Declined", "Accepted")</f>
        <v>Accepted</v>
      </c>
    </row>
    <row r="505" spans="1:13" x14ac:dyDescent="0.25">
      <c r="A505" s="1" t="s">
        <v>144</v>
      </c>
      <c r="B505" s="1" t="s">
        <v>26</v>
      </c>
      <c r="C505" s="1" t="s">
        <v>129</v>
      </c>
      <c r="D505">
        <v>17</v>
      </c>
      <c r="E505">
        <v>151</v>
      </c>
      <c r="F505">
        <v>8.8800000000000008</v>
      </c>
      <c r="J505" s="1" t="s">
        <v>130</v>
      </c>
      <c r="K505">
        <v>1</v>
      </c>
      <c r="L505">
        <v>0</v>
      </c>
      <c r="M505" t="str">
        <f>IF(tblPenalties[[#This Row],[total_yards]]=0, "Declined", "Accepted")</f>
        <v>Accepted</v>
      </c>
    </row>
    <row r="506" spans="1:13" x14ac:dyDescent="0.25">
      <c r="A506" s="1" t="s">
        <v>134</v>
      </c>
      <c r="B506" s="1" t="s">
        <v>26</v>
      </c>
      <c r="C506" s="1" t="s">
        <v>112</v>
      </c>
      <c r="D506">
        <v>6</v>
      </c>
      <c r="E506">
        <v>32</v>
      </c>
      <c r="F506">
        <v>5.33</v>
      </c>
      <c r="J506" s="1" t="s">
        <v>113</v>
      </c>
      <c r="K506">
        <v>1</v>
      </c>
      <c r="L506">
        <v>0</v>
      </c>
      <c r="M506" t="str">
        <f>IF(tblPenalties[[#This Row],[total_yards]]=0, "Declined", "Accepted")</f>
        <v>Accepted</v>
      </c>
    </row>
    <row r="507" spans="1:13" x14ac:dyDescent="0.25">
      <c r="A507" s="1" t="s">
        <v>145</v>
      </c>
      <c r="B507" s="1" t="s">
        <v>21</v>
      </c>
      <c r="C507" s="1" t="s">
        <v>112</v>
      </c>
      <c r="D507">
        <v>8</v>
      </c>
      <c r="E507">
        <v>12</v>
      </c>
      <c r="F507">
        <v>1.5</v>
      </c>
      <c r="J507" s="1" t="s">
        <v>113</v>
      </c>
      <c r="K507">
        <v>1</v>
      </c>
      <c r="L507">
        <v>0</v>
      </c>
      <c r="M507" t="str">
        <f>IF(tblPenalties[[#This Row],[total_yards]]=0, "Declined", "Accepted")</f>
        <v>Accepted</v>
      </c>
    </row>
    <row r="508" spans="1:13" x14ac:dyDescent="0.25">
      <c r="A508" s="1" t="s">
        <v>16</v>
      </c>
      <c r="B508" s="1" t="s">
        <v>17</v>
      </c>
      <c r="C508" s="1" t="s">
        <v>112</v>
      </c>
      <c r="D508">
        <v>7</v>
      </c>
      <c r="E508">
        <v>62</v>
      </c>
      <c r="F508">
        <v>8.86</v>
      </c>
      <c r="J508" s="1" t="s">
        <v>113</v>
      </c>
      <c r="K508">
        <v>1</v>
      </c>
      <c r="L508">
        <v>0</v>
      </c>
      <c r="M508" t="str">
        <f>IF(tblPenalties[[#This Row],[total_yards]]=0, "Declined", "Accepted")</f>
        <v>Accepted</v>
      </c>
    </row>
    <row r="509" spans="1:13" x14ac:dyDescent="0.25">
      <c r="A509" s="1" t="s">
        <v>135</v>
      </c>
      <c r="B509" s="1" t="s">
        <v>17</v>
      </c>
      <c r="C509" s="1" t="s">
        <v>112</v>
      </c>
      <c r="D509">
        <v>10</v>
      </c>
      <c r="E509">
        <v>164</v>
      </c>
      <c r="F509">
        <v>16.399999999999999</v>
      </c>
      <c r="J509" s="1" t="s">
        <v>113</v>
      </c>
      <c r="K509">
        <v>1</v>
      </c>
      <c r="L509">
        <v>0</v>
      </c>
      <c r="M509" t="str">
        <f>IF(tblPenalties[[#This Row],[total_yards]]=0, "Declined", "Accepted")</f>
        <v>Accepted</v>
      </c>
    </row>
    <row r="510" spans="1:13" x14ac:dyDescent="0.25">
      <c r="A510" s="1" t="s">
        <v>18</v>
      </c>
      <c r="B510" s="1" t="s">
        <v>19</v>
      </c>
      <c r="C510" s="1" t="s">
        <v>112</v>
      </c>
      <c r="D510">
        <v>7</v>
      </c>
      <c r="E510">
        <v>52</v>
      </c>
      <c r="F510">
        <v>7.43</v>
      </c>
      <c r="J510" s="1" t="s">
        <v>113</v>
      </c>
      <c r="K510">
        <v>1</v>
      </c>
      <c r="L510">
        <v>0</v>
      </c>
      <c r="M510" t="str">
        <f>IF(tblPenalties[[#This Row],[total_yards]]=0, "Declined", "Accepted")</f>
        <v>Accepted</v>
      </c>
    </row>
    <row r="511" spans="1:13" x14ac:dyDescent="0.25">
      <c r="A511" s="1" t="s">
        <v>124</v>
      </c>
      <c r="B511" s="1" t="s">
        <v>13</v>
      </c>
      <c r="C511" s="1" t="s">
        <v>112</v>
      </c>
      <c r="D511">
        <v>8</v>
      </c>
      <c r="E511">
        <v>30</v>
      </c>
      <c r="F511">
        <v>3.75</v>
      </c>
      <c r="J511" s="1" t="s">
        <v>113</v>
      </c>
      <c r="K511">
        <v>1</v>
      </c>
      <c r="L511">
        <v>0</v>
      </c>
      <c r="M511" t="str">
        <f>IF(tblPenalties[[#This Row],[total_yards]]=0, "Declined", "Accepted")</f>
        <v>Accepted</v>
      </c>
    </row>
    <row r="512" spans="1:13" x14ac:dyDescent="0.25">
      <c r="A512" s="1" t="s">
        <v>146</v>
      </c>
      <c r="B512" s="1" t="s">
        <v>34</v>
      </c>
      <c r="C512" s="1" t="s">
        <v>112</v>
      </c>
      <c r="D512">
        <v>9</v>
      </c>
      <c r="E512">
        <v>179</v>
      </c>
      <c r="F512">
        <v>19.89</v>
      </c>
      <c r="J512" s="1" t="s">
        <v>113</v>
      </c>
      <c r="K512">
        <v>1</v>
      </c>
      <c r="L512">
        <v>0</v>
      </c>
      <c r="M512" t="str">
        <f>IF(tblPenalties[[#This Row],[total_yards]]=0, "Declined", "Accepted")</f>
        <v>Accepted</v>
      </c>
    </row>
    <row r="513" spans="1:13" x14ac:dyDescent="0.25">
      <c r="A513" s="1" t="s">
        <v>126</v>
      </c>
      <c r="B513" s="1" t="s">
        <v>19</v>
      </c>
      <c r="C513" s="1" t="s">
        <v>112</v>
      </c>
      <c r="D513">
        <v>7</v>
      </c>
      <c r="E513">
        <v>8</v>
      </c>
      <c r="F513">
        <v>1.1399999999999999</v>
      </c>
      <c r="J513" s="1" t="s">
        <v>113</v>
      </c>
      <c r="K513">
        <v>1</v>
      </c>
      <c r="L513">
        <v>0</v>
      </c>
      <c r="M513" t="str">
        <f>IF(tblPenalties[[#This Row],[total_yards]]=0, "Declined", "Accepted")</f>
        <v>Accepted</v>
      </c>
    </row>
    <row r="514" spans="1:13" x14ac:dyDescent="0.25">
      <c r="A514" s="1" t="s">
        <v>24</v>
      </c>
      <c r="B514" s="1" t="s">
        <v>17</v>
      </c>
      <c r="C514" s="1" t="s">
        <v>112</v>
      </c>
      <c r="D514">
        <v>6</v>
      </c>
      <c r="E514">
        <v>24</v>
      </c>
      <c r="F514">
        <v>4</v>
      </c>
      <c r="J514" s="1" t="s">
        <v>113</v>
      </c>
      <c r="K514">
        <v>1</v>
      </c>
      <c r="L514">
        <v>0</v>
      </c>
      <c r="M514" t="str">
        <f>IF(tblPenalties[[#This Row],[total_yards]]=0, "Declined", "Accepted")</f>
        <v>Accepted</v>
      </c>
    </row>
    <row r="515" spans="1:13" x14ac:dyDescent="0.25">
      <c r="A515" s="1" t="s">
        <v>25</v>
      </c>
      <c r="B515" s="1" t="s">
        <v>26</v>
      </c>
      <c r="C515" s="1" t="s">
        <v>112</v>
      </c>
      <c r="D515">
        <v>12</v>
      </c>
      <c r="E515">
        <v>87</v>
      </c>
      <c r="F515">
        <v>7.25</v>
      </c>
      <c r="J515" s="1" t="s">
        <v>113</v>
      </c>
      <c r="K515">
        <v>1</v>
      </c>
      <c r="L515">
        <v>0</v>
      </c>
      <c r="M515" t="str">
        <f>IF(tblPenalties[[#This Row],[total_yards]]=0, "Declined", "Accepted")</f>
        <v>Accepted</v>
      </c>
    </row>
    <row r="516" spans="1:13" x14ac:dyDescent="0.25">
      <c r="A516" s="1" t="s">
        <v>27</v>
      </c>
      <c r="B516" s="1" t="s">
        <v>28</v>
      </c>
      <c r="C516" s="1" t="s">
        <v>112</v>
      </c>
      <c r="D516">
        <v>11</v>
      </c>
      <c r="E516">
        <v>162</v>
      </c>
      <c r="F516">
        <v>14.73</v>
      </c>
      <c r="J516" s="1" t="s">
        <v>113</v>
      </c>
      <c r="K516">
        <v>1</v>
      </c>
      <c r="L516">
        <v>0</v>
      </c>
      <c r="M516" t="str">
        <f>IF(tblPenalties[[#This Row],[total_yards]]=0, "Declined", "Accepted")</f>
        <v>Accepted</v>
      </c>
    </row>
    <row r="517" spans="1:13" x14ac:dyDescent="0.25">
      <c r="A517" s="1" t="s">
        <v>29</v>
      </c>
      <c r="B517" s="1" t="s">
        <v>21</v>
      </c>
      <c r="C517" s="1" t="s">
        <v>112</v>
      </c>
      <c r="D517">
        <v>12</v>
      </c>
      <c r="E517">
        <v>83</v>
      </c>
      <c r="F517">
        <v>6.92</v>
      </c>
      <c r="J517" s="1" t="s">
        <v>113</v>
      </c>
      <c r="K517">
        <v>1</v>
      </c>
      <c r="L517">
        <v>0</v>
      </c>
      <c r="M517" t="str">
        <f>IF(tblPenalties[[#This Row],[total_yards]]=0, "Declined", "Accepted")</f>
        <v>Accepted</v>
      </c>
    </row>
    <row r="518" spans="1:13" x14ac:dyDescent="0.25">
      <c r="A518" s="1" t="s">
        <v>30</v>
      </c>
      <c r="B518" s="1" t="s">
        <v>21</v>
      </c>
      <c r="C518" s="1" t="s">
        <v>112</v>
      </c>
      <c r="D518">
        <v>4</v>
      </c>
      <c r="E518">
        <v>8</v>
      </c>
      <c r="F518">
        <v>2</v>
      </c>
      <c r="J518" s="1" t="s">
        <v>113</v>
      </c>
      <c r="K518">
        <v>1</v>
      </c>
      <c r="L518">
        <v>0</v>
      </c>
      <c r="M518" t="str">
        <f>IF(tblPenalties[[#This Row],[total_yards]]=0, "Declined", "Accepted")</f>
        <v>Accepted</v>
      </c>
    </row>
    <row r="519" spans="1:13" x14ac:dyDescent="0.25">
      <c r="A519" s="1" t="s">
        <v>136</v>
      </c>
      <c r="B519" s="1" t="s">
        <v>21</v>
      </c>
      <c r="C519" s="1" t="s">
        <v>112</v>
      </c>
      <c r="D519">
        <v>14</v>
      </c>
      <c r="E519">
        <v>82</v>
      </c>
      <c r="F519">
        <v>5.86</v>
      </c>
      <c r="J519" s="1" t="s">
        <v>113</v>
      </c>
      <c r="K519">
        <v>1</v>
      </c>
      <c r="L519">
        <v>0</v>
      </c>
      <c r="M519" t="str">
        <f>IF(tblPenalties[[#This Row],[total_yards]]=0, "Declined", "Accepted")</f>
        <v>Accepted</v>
      </c>
    </row>
    <row r="520" spans="1:13" x14ac:dyDescent="0.25">
      <c r="A520" s="1" t="s">
        <v>32</v>
      </c>
      <c r="B520" s="1" t="s">
        <v>28</v>
      </c>
      <c r="C520" s="1" t="s">
        <v>112</v>
      </c>
      <c r="D520">
        <v>17</v>
      </c>
      <c r="E520">
        <v>119</v>
      </c>
      <c r="F520">
        <v>7</v>
      </c>
      <c r="J520" s="1" t="s">
        <v>113</v>
      </c>
      <c r="K520">
        <v>1</v>
      </c>
      <c r="L520">
        <v>0</v>
      </c>
      <c r="M520" t="str">
        <f>IF(tblPenalties[[#This Row],[total_yards]]=0, "Declined", "Accepted")</f>
        <v>Accepted</v>
      </c>
    </row>
    <row r="521" spans="1:13" x14ac:dyDescent="0.25">
      <c r="A521" s="1" t="s">
        <v>33</v>
      </c>
      <c r="B521" s="1" t="s">
        <v>34</v>
      </c>
      <c r="C521" s="1" t="s">
        <v>112</v>
      </c>
      <c r="D521">
        <v>4</v>
      </c>
      <c r="E521">
        <v>29</v>
      </c>
      <c r="F521">
        <v>7.25</v>
      </c>
      <c r="J521" s="1" t="s">
        <v>113</v>
      </c>
      <c r="K521">
        <v>1</v>
      </c>
      <c r="L521">
        <v>0</v>
      </c>
      <c r="M521" t="str">
        <f>IF(tblPenalties[[#This Row],[total_yards]]=0, "Declined", "Accepted")</f>
        <v>Accepted</v>
      </c>
    </row>
    <row r="522" spans="1:13" x14ac:dyDescent="0.25">
      <c r="A522" s="1" t="s">
        <v>35</v>
      </c>
      <c r="B522" s="1" t="s">
        <v>28</v>
      </c>
      <c r="C522" s="1" t="s">
        <v>112</v>
      </c>
      <c r="D522">
        <v>8</v>
      </c>
      <c r="E522">
        <v>86</v>
      </c>
      <c r="F522">
        <v>10.75</v>
      </c>
      <c r="J522" s="1" t="s">
        <v>113</v>
      </c>
      <c r="K522">
        <v>1</v>
      </c>
      <c r="L522">
        <v>0</v>
      </c>
      <c r="M522" t="str">
        <f>IF(tblPenalties[[#This Row],[total_yards]]=0, "Declined", "Accepted")</f>
        <v>Accepted</v>
      </c>
    </row>
    <row r="523" spans="1:13" x14ac:dyDescent="0.25">
      <c r="A523" s="1" t="s">
        <v>36</v>
      </c>
      <c r="B523" s="1" t="s">
        <v>13</v>
      </c>
      <c r="C523" s="1" t="s">
        <v>112</v>
      </c>
      <c r="D523">
        <v>8</v>
      </c>
      <c r="E523">
        <v>178</v>
      </c>
      <c r="F523">
        <v>22.25</v>
      </c>
      <c r="J523" s="1" t="s">
        <v>113</v>
      </c>
      <c r="K523">
        <v>1</v>
      </c>
      <c r="L523">
        <v>0</v>
      </c>
      <c r="M523" t="str">
        <f>IF(tblPenalties[[#This Row],[total_yards]]=0, "Declined", "Accepted")</f>
        <v>Accepted</v>
      </c>
    </row>
    <row r="524" spans="1:13" x14ac:dyDescent="0.25">
      <c r="A524" s="1" t="s">
        <v>37</v>
      </c>
      <c r="B524" s="1" t="s">
        <v>17</v>
      </c>
      <c r="C524" s="1" t="s">
        <v>112</v>
      </c>
      <c r="D524">
        <v>9</v>
      </c>
      <c r="E524">
        <v>159</v>
      </c>
      <c r="F524">
        <v>17.670000000000002</v>
      </c>
      <c r="J524" s="1" t="s">
        <v>113</v>
      </c>
      <c r="K524">
        <v>1</v>
      </c>
      <c r="L524">
        <v>0</v>
      </c>
      <c r="M524" t="str">
        <f>IF(tblPenalties[[#This Row],[total_yards]]=0, "Declined", "Accepted")</f>
        <v>Accepted</v>
      </c>
    </row>
    <row r="525" spans="1:13" x14ac:dyDescent="0.25">
      <c r="A525" s="1" t="s">
        <v>38</v>
      </c>
      <c r="B525" s="1" t="s">
        <v>26</v>
      </c>
      <c r="C525" s="1" t="s">
        <v>112</v>
      </c>
      <c r="D525">
        <v>6</v>
      </c>
      <c r="E525">
        <v>38</v>
      </c>
      <c r="F525">
        <v>6.33</v>
      </c>
      <c r="J525" s="1" t="s">
        <v>113</v>
      </c>
      <c r="K525">
        <v>1</v>
      </c>
      <c r="L525">
        <v>0</v>
      </c>
      <c r="M525" t="str">
        <f>IF(tblPenalties[[#This Row],[total_yards]]=0, "Declined", "Accepted")</f>
        <v>Accepted</v>
      </c>
    </row>
    <row r="526" spans="1:13" x14ac:dyDescent="0.25">
      <c r="A526" s="1" t="s">
        <v>39</v>
      </c>
      <c r="B526" s="1" t="s">
        <v>40</v>
      </c>
      <c r="C526" s="1" t="s">
        <v>112</v>
      </c>
      <c r="D526">
        <v>17</v>
      </c>
      <c r="E526">
        <v>151</v>
      </c>
      <c r="F526">
        <v>8.8800000000000008</v>
      </c>
      <c r="J526" s="1" t="s">
        <v>113</v>
      </c>
      <c r="K526">
        <v>1</v>
      </c>
      <c r="L526">
        <v>0</v>
      </c>
      <c r="M526" t="str">
        <f>IF(tblPenalties[[#This Row],[total_yards]]=0, "Declined", "Accepted")</f>
        <v>Accepted</v>
      </c>
    </row>
    <row r="527" spans="1:13" x14ac:dyDescent="0.25">
      <c r="A527" s="1" t="s">
        <v>137</v>
      </c>
      <c r="B527" s="1" t="s">
        <v>28</v>
      </c>
      <c r="C527" s="1" t="s">
        <v>112</v>
      </c>
      <c r="D527">
        <v>6</v>
      </c>
      <c r="E527">
        <v>47</v>
      </c>
      <c r="F527">
        <v>7.83</v>
      </c>
      <c r="J527" s="1" t="s">
        <v>113</v>
      </c>
      <c r="K527">
        <v>1</v>
      </c>
      <c r="L527">
        <v>0</v>
      </c>
      <c r="M527" t="str">
        <f>IF(tblPenalties[[#This Row],[total_yards]]=0, "Declined", "Accepted")</f>
        <v>Accepted</v>
      </c>
    </row>
    <row r="528" spans="1:13" x14ac:dyDescent="0.25">
      <c r="A528" s="1" t="s">
        <v>41</v>
      </c>
      <c r="B528" s="1" t="s">
        <v>21</v>
      </c>
      <c r="C528" s="1" t="s">
        <v>112</v>
      </c>
      <c r="D528">
        <v>6</v>
      </c>
      <c r="E528">
        <v>44</v>
      </c>
      <c r="F528">
        <v>7.33</v>
      </c>
      <c r="J528" s="1" t="s">
        <v>113</v>
      </c>
      <c r="K528">
        <v>1</v>
      </c>
      <c r="L528">
        <v>0</v>
      </c>
      <c r="M528" t="str">
        <f>IF(tblPenalties[[#This Row],[total_yards]]=0, "Declined", "Accepted")</f>
        <v>Accepted</v>
      </c>
    </row>
    <row r="529" spans="1:13" x14ac:dyDescent="0.25">
      <c r="A529" s="1" t="s">
        <v>127</v>
      </c>
      <c r="B529" s="1" t="s">
        <v>34</v>
      </c>
      <c r="C529" s="1" t="s">
        <v>112</v>
      </c>
      <c r="D529">
        <v>8</v>
      </c>
      <c r="E529">
        <v>138</v>
      </c>
      <c r="F529">
        <v>17.25</v>
      </c>
      <c r="J529" s="1" t="s">
        <v>113</v>
      </c>
      <c r="K529">
        <v>1</v>
      </c>
      <c r="L529">
        <v>0</v>
      </c>
      <c r="M529" t="str">
        <f>IF(tblPenalties[[#This Row],[total_yards]]=0, "Declined", "Accepted")</f>
        <v>Accepted</v>
      </c>
    </row>
    <row r="530" spans="1:13" x14ac:dyDescent="0.25">
      <c r="A530" s="1" t="s">
        <v>42</v>
      </c>
      <c r="B530" s="1" t="s">
        <v>34</v>
      </c>
      <c r="C530" s="1" t="s">
        <v>112</v>
      </c>
      <c r="D530">
        <v>6</v>
      </c>
      <c r="E530">
        <v>60</v>
      </c>
      <c r="F530">
        <v>10</v>
      </c>
      <c r="J530" s="1" t="s">
        <v>113</v>
      </c>
      <c r="K530">
        <v>1</v>
      </c>
      <c r="L530">
        <v>0</v>
      </c>
      <c r="M530" t="str">
        <f>IF(tblPenalties[[#This Row],[total_yards]]=0, "Declined", "Accepted")</f>
        <v>Accepted</v>
      </c>
    </row>
    <row r="531" spans="1:13" x14ac:dyDescent="0.25">
      <c r="A531" s="1" t="s">
        <v>43</v>
      </c>
      <c r="B531" s="1" t="s">
        <v>40</v>
      </c>
      <c r="C531" s="1" t="s">
        <v>112</v>
      </c>
      <c r="D531">
        <v>10</v>
      </c>
      <c r="E531">
        <v>173</v>
      </c>
      <c r="F531">
        <v>17.3</v>
      </c>
      <c r="J531" s="1" t="s">
        <v>113</v>
      </c>
      <c r="K531">
        <v>1</v>
      </c>
      <c r="L531">
        <v>0</v>
      </c>
      <c r="M531" t="str">
        <f>IF(tblPenalties[[#This Row],[total_yards]]=0, "Declined", "Accepted")</f>
        <v>Accepted</v>
      </c>
    </row>
    <row r="532" spans="1:13" x14ac:dyDescent="0.25">
      <c r="A532" s="1" t="s">
        <v>44</v>
      </c>
      <c r="B532" s="1" t="s">
        <v>19</v>
      </c>
      <c r="C532" s="1" t="s">
        <v>112</v>
      </c>
      <c r="D532">
        <v>3</v>
      </c>
      <c r="E532">
        <v>51</v>
      </c>
      <c r="F532">
        <v>17</v>
      </c>
      <c r="J532" s="1" t="s">
        <v>113</v>
      </c>
      <c r="K532">
        <v>1</v>
      </c>
      <c r="L532">
        <v>0</v>
      </c>
      <c r="M532" t="str">
        <f>IF(tblPenalties[[#This Row],[total_yards]]=0, "Declined", "Accepted")</f>
        <v>Accepted</v>
      </c>
    </row>
    <row r="533" spans="1:13" x14ac:dyDescent="0.25">
      <c r="A533" s="1" t="s">
        <v>45</v>
      </c>
      <c r="B533" s="1" t="s">
        <v>28</v>
      </c>
      <c r="C533" s="1" t="s">
        <v>112</v>
      </c>
      <c r="D533">
        <v>10</v>
      </c>
      <c r="E533">
        <v>77</v>
      </c>
      <c r="F533">
        <v>7.7</v>
      </c>
      <c r="J533" s="1" t="s">
        <v>113</v>
      </c>
      <c r="K533">
        <v>1</v>
      </c>
      <c r="L533">
        <v>0</v>
      </c>
      <c r="M533" t="str">
        <f>IF(tblPenalties[[#This Row],[total_yards]]=0, "Declined", "Accepted")</f>
        <v>Accepted</v>
      </c>
    </row>
    <row r="534" spans="1:13" x14ac:dyDescent="0.25">
      <c r="A534" s="1" t="s">
        <v>46</v>
      </c>
      <c r="B534" s="1" t="s">
        <v>26</v>
      </c>
      <c r="C534" s="1" t="s">
        <v>112</v>
      </c>
      <c r="D534">
        <v>7</v>
      </c>
      <c r="E534">
        <v>38</v>
      </c>
      <c r="F534">
        <v>5.43</v>
      </c>
      <c r="J534" s="1" t="s">
        <v>113</v>
      </c>
      <c r="K534">
        <v>1</v>
      </c>
      <c r="L534">
        <v>0</v>
      </c>
      <c r="M534" t="str">
        <f>IF(tblPenalties[[#This Row],[total_yards]]=0, "Declined", "Accepted")</f>
        <v>Accepted</v>
      </c>
    </row>
    <row r="535" spans="1:13" x14ac:dyDescent="0.25">
      <c r="A535" s="1" t="s">
        <v>47</v>
      </c>
      <c r="B535" s="1" t="s">
        <v>13</v>
      </c>
      <c r="C535" s="1" t="s">
        <v>112</v>
      </c>
      <c r="D535">
        <v>18</v>
      </c>
      <c r="E535">
        <v>151</v>
      </c>
      <c r="F535">
        <v>8.39</v>
      </c>
      <c r="J535" s="1" t="s">
        <v>113</v>
      </c>
      <c r="K535">
        <v>1</v>
      </c>
      <c r="L535">
        <v>0</v>
      </c>
      <c r="M535" t="str">
        <f>IF(tblPenalties[[#This Row],[total_yards]]=0, "Declined", "Accepted")</f>
        <v>Accepted</v>
      </c>
    </row>
    <row r="536" spans="1:13" x14ac:dyDescent="0.25">
      <c r="A536" s="1" t="s">
        <v>147</v>
      </c>
      <c r="B536" s="1" t="s">
        <v>13</v>
      </c>
      <c r="C536" s="1" t="s">
        <v>112</v>
      </c>
      <c r="D536">
        <v>16</v>
      </c>
      <c r="E536">
        <v>64</v>
      </c>
      <c r="F536">
        <v>4</v>
      </c>
      <c r="J536" s="1" t="s">
        <v>113</v>
      </c>
      <c r="K536">
        <v>1</v>
      </c>
      <c r="L536">
        <v>0</v>
      </c>
      <c r="M536" t="str">
        <f>IF(tblPenalties[[#This Row],[total_yards]]=0, "Declined", "Accepted")</f>
        <v>Accepted</v>
      </c>
    </row>
    <row r="537" spans="1:13" x14ac:dyDescent="0.25">
      <c r="A537" s="1" t="s">
        <v>48</v>
      </c>
      <c r="B537" s="1" t="s">
        <v>26</v>
      </c>
      <c r="C537" s="1" t="s">
        <v>112</v>
      </c>
      <c r="D537">
        <v>11</v>
      </c>
      <c r="E537">
        <v>52</v>
      </c>
      <c r="F537">
        <v>4.7300000000000004</v>
      </c>
      <c r="J537" s="1" t="s">
        <v>113</v>
      </c>
      <c r="K537">
        <v>1</v>
      </c>
      <c r="L537">
        <v>0</v>
      </c>
      <c r="M537" t="str">
        <f>IF(tblPenalties[[#This Row],[total_yards]]=0, "Declined", "Accepted")</f>
        <v>Accepted</v>
      </c>
    </row>
    <row r="538" spans="1:13" x14ac:dyDescent="0.25">
      <c r="A538" s="1" t="s">
        <v>50</v>
      </c>
      <c r="B538" s="1" t="s">
        <v>17</v>
      </c>
      <c r="C538" s="1" t="s">
        <v>112</v>
      </c>
      <c r="D538">
        <v>11</v>
      </c>
      <c r="E538">
        <v>76</v>
      </c>
      <c r="F538">
        <v>6.91</v>
      </c>
      <c r="J538" s="1" t="s">
        <v>113</v>
      </c>
      <c r="K538">
        <v>1</v>
      </c>
      <c r="L538">
        <v>0</v>
      </c>
      <c r="M538" t="str">
        <f>IF(tblPenalties[[#This Row],[total_yards]]=0, "Declined", "Accepted")</f>
        <v>Accepted</v>
      </c>
    </row>
    <row r="539" spans="1:13" x14ac:dyDescent="0.25">
      <c r="A539" s="1" t="s">
        <v>51</v>
      </c>
      <c r="B539" s="1" t="s">
        <v>52</v>
      </c>
      <c r="C539" s="1" t="s">
        <v>112</v>
      </c>
      <c r="D539">
        <v>4</v>
      </c>
      <c r="E539">
        <v>16</v>
      </c>
      <c r="F539">
        <v>4</v>
      </c>
      <c r="J539" s="1" t="s">
        <v>113</v>
      </c>
      <c r="K539">
        <v>1</v>
      </c>
      <c r="L539">
        <v>0</v>
      </c>
      <c r="M539" t="str">
        <f>IF(tblPenalties[[#This Row],[total_yards]]=0, "Declined", "Accepted")</f>
        <v>Accepted</v>
      </c>
    </row>
    <row r="540" spans="1:13" x14ac:dyDescent="0.25">
      <c r="A540" s="1" t="s">
        <v>53</v>
      </c>
      <c r="B540" s="1" t="s">
        <v>17</v>
      </c>
      <c r="C540" s="1" t="s">
        <v>112</v>
      </c>
      <c r="D540">
        <v>5</v>
      </c>
      <c r="E540">
        <v>43</v>
      </c>
      <c r="F540">
        <v>8.6</v>
      </c>
      <c r="J540" s="1" t="s">
        <v>113</v>
      </c>
      <c r="K540">
        <v>1</v>
      </c>
      <c r="L540">
        <v>0</v>
      </c>
      <c r="M540" t="str">
        <f>IF(tblPenalties[[#This Row],[total_yards]]=0, "Declined", "Accepted")</f>
        <v>Accepted</v>
      </c>
    </row>
    <row r="541" spans="1:13" x14ac:dyDescent="0.25">
      <c r="A541" s="1" t="s">
        <v>54</v>
      </c>
      <c r="B541" s="1" t="s">
        <v>13</v>
      </c>
      <c r="C541" s="1" t="s">
        <v>112</v>
      </c>
      <c r="D541">
        <v>7</v>
      </c>
      <c r="E541">
        <v>41</v>
      </c>
      <c r="F541">
        <v>5.86</v>
      </c>
      <c r="J541" s="1" t="s">
        <v>113</v>
      </c>
      <c r="K541">
        <v>1</v>
      </c>
      <c r="L541">
        <v>0</v>
      </c>
      <c r="M541" t="str">
        <f>IF(tblPenalties[[#This Row],[total_yards]]=0, "Declined", "Accepted")</f>
        <v>Accepted</v>
      </c>
    </row>
    <row r="542" spans="1:13" x14ac:dyDescent="0.25">
      <c r="A542" s="1" t="s">
        <v>55</v>
      </c>
      <c r="B542" s="1" t="s">
        <v>40</v>
      </c>
      <c r="C542" s="1" t="s">
        <v>112</v>
      </c>
      <c r="D542">
        <v>8</v>
      </c>
      <c r="E542">
        <v>44</v>
      </c>
      <c r="F542">
        <v>5.5</v>
      </c>
      <c r="J542" s="1" t="s">
        <v>113</v>
      </c>
      <c r="K542">
        <v>1</v>
      </c>
      <c r="L542">
        <v>0</v>
      </c>
      <c r="M542" t="str">
        <f>IF(tblPenalties[[#This Row],[total_yards]]=0, "Declined", "Accepted")</f>
        <v>Accepted</v>
      </c>
    </row>
    <row r="543" spans="1:13" x14ac:dyDescent="0.25">
      <c r="A543" s="1" t="s">
        <v>138</v>
      </c>
      <c r="B543" s="1" t="s">
        <v>17</v>
      </c>
      <c r="C543" s="1" t="s">
        <v>112</v>
      </c>
      <c r="D543">
        <v>11</v>
      </c>
      <c r="E543">
        <v>133</v>
      </c>
      <c r="F543">
        <v>12.09</v>
      </c>
      <c r="J543" s="1" t="s">
        <v>113</v>
      </c>
      <c r="K543">
        <v>1</v>
      </c>
      <c r="L543">
        <v>0</v>
      </c>
      <c r="M543" t="str">
        <f>IF(tblPenalties[[#This Row],[total_yards]]=0, "Declined", "Accepted")</f>
        <v>Accepted</v>
      </c>
    </row>
    <row r="544" spans="1:13" x14ac:dyDescent="0.25">
      <c r="A544" s="1" t="s">
        <v>139</v>
      </c>
      <c r="B544" s="1" t="s">
        <v>17</v>
      </c>
      <c r="C544" s="1" t="s">
        <v>112</v>
      </c>
      <c r="D544">
        <v>3</v>
      </c>
      <c r="E544">
        <v>17</v>
      </c>
      <c r="F544">
        <v>5.67</v>
      </c>
      <c r="J544" s="1" t="s">
        <v>113</v>
      </c>
      <c r="K544">
        <v>1</v>
      </c>
      <c r="L544">
        <v>0</v>
      </c>
      <c r="M544" t="str">
        <f>IF(tblPenalties[[#This Row],[total_yards]]=0, "Declined", "Accepted")</f>
        <v>Accepted</v>
      </c>
    </row>
    <row r="545" spans="1:13" x14ac:dyDescent="0.25">
      <c r="A545" s="1" t="s">
        <v>56</v>
      </c>
      <c r="B545" s="1" t="s">
        <v>40</v>
      </c>
      <c r="C545" s="1" t="s">
        <v>112</v>
      </c>
      <c r="D545">
        <v>7</v>
      </c>
      <c r="E545">
        <v>92</v>
      </c>
      <c r="F545">
        <v>13.14</v>
      </c>
      <c r="J545" s="1" t="s">
        <v>113</v>
      </c>
      <c r="K545">
        <v>1</v>
      </c>
      <c r="L545">
        <v>0</v>
      </c>
      <c r="M545" t="str">
        <f>IF(tblPenalties[[#This Row],[total_yards]]=0, "Declined", "Accepted")</f>
        <v>Accepted</v>
      </c>
    </row>
    <row r="546" spans="1:13" x14ac:dyDescent="0.25">
      <c r="A546" s="1" t="s">
        <v>116</v>
      </c>
      <c r="B546" s="1" t="s">
        <v>21</v>
      </c>
      <c r="C546" s="1" t="s">
        <v>112</v>
      </c>
      <c r="D546">
        <v>14</v>
      </c>
      <c r="E546">
        <v>199</v>
      </c>
      <c r="F546">
        <v>14.21</v>
      </c>
      <c r="J546" s="1" t="s">
        <v>113</v>
      </c>
      <c r="K546">
        <v>1</v>
      </c>
      <c r="L546">
        <v>0</v>
      </c>
      <c r="M546" t="str">
        <f>IF(tblPenalties[[#This Row],[total_yards]]=0, "Declined", "Accepted")</f>
        <v>Accepted</v>
      </c>
    </row>
    <row r="547" spans="1:13" x14ac:dyDescent="0.25">
      <c r="A547" s="1" t="s">
        <v>57</v>
      </c>
      <c r="B547" s="1" t="s">
        <v>19</v>
      </c>
      <c r="C547" s="1" t="s">
        <v>112</v>
      </c>
      <c r="D547">
        <v>9</v>
      </c>
      <c r="E547">
        <v>60</v>
      </c>
      <c r="F547">
        <v>6.67</v>
      </c>
      <c r="J547" s="1" t="s">
        <v>113</v>
      </c>
      <c r="K547">
        <v>1</v>
      </c>
      <c r="L547">
        <v>0</v>
      </c>
      <c r="M547" t="str">
        <f>IF(tblPenalties[[#This Row],[total_yards]]=0, "Declined", "Accepted")</f>
        <v>Accepted</v>
      </c>
    </row>
    <row r="548" spans="1:13" x14ac:dyDescent="0.25">
      <c r="A548" s="1" t="s">
        <v>58</v>
      </c>
      <c r="B548" s="1" t="s">
        <v>19</v>
      </c>
      <c r="C548" s="1" t="s">
        <v>112</v>
      </c>
      <c r="D548">
        <v>6</v>
      </c>
      <c r="E548">
        <v>61</v>
      </c>
      <c r="F548">
        <v>10.17</v>
      </c>
      <c r="J548" s="1" t="s">
        <v>113</v>
      </c>
      <c r="K548">
        <v>1</v>
      </c>
      <c r="L548">
        <v>0</v>
      </c>
      <c r="M548" t="str">
        <f>IF(tblPenalties[[#This Row],[total_yards]]=0, "Declined", "Accepted")</f>
        <v>Accepted</v>
      </c>
    </row>
    <row r="549" spans="1:13" x14ac:dyDescent="0.25">
      <c r="A549" s="1" t="s">
        <v>59</v>
      </c>
      <c r="B549" s="1" t="s">
        <v>40</v>
      </c>
      <c r="C549" s="1" t="s">
        <v>112</v>
      </c>
      <c r="D549">
        <v>14</v>
      </c>
      <c r="E549">
        <v>238</v>
      </c>
      <c r="F549">
        <v>17</v>
      </c>
      <c r="J549" s="1" t="s">
        <v>113</v>
      </c>
      <c r="K549">
        <v>1</v>
      </c>
      <c r="L549">
        <v>0</v>
      </c>
      <c r="M549" t="str">
        <f>IF(tblPenalties[[#This Row],[total_yards]]=0, "Declined", "Accepted")</f>
        <v>Accepted</v>
      </c>
    </row>
    <row r="550" spans="1:13" x14ac:dyDescent="0.25">
      <c r="A550" s="1" t="s">
        <v>60</v>
      </c>
      <c r="B550" s="1" t="s">
        <v>40</v>
      </c>
      <c r="C550" s="1" t="s">
        <v>112</v>
      </c>
      <c r="D550">
        <v>6</v>
      </c>
      <c r="E550">
        <v>76</v>
      </c>
      <c r="F550">
        <v>12.67</v>
      </c>
      <c r="J550" s="1" t="s">
        <v>113</v>
      </c>
      <c r="K550">
        <v>1</v>
      </c>
      <c r="L550">
        <v>0</v>
      </c>
      <c r="M550" t="str">
        <f>IF(tblPenalties[[#This Row],[total_yards]]=0, "Declined", "Accepted")</f>
        <v>Accepted</v>
      </c>
    </row>
    <row r="551" spans="1:13" x14ac:dyDescent="0.25">
      <c r="A551" s="1" t="s">
        <v>61</v>
      </c>
      <c r="B551" s="1" t="s">
        <v>13</v>
      </c>
      <c r="C551" s="1" t="s">
        <v>112</v>
      </c>
      <c r="D551">
        <v>12</v>
      </c>
      <c r="E551">
        <v>58</v>
      </c>
      <c r="F551">
        <v>4.83</v>
      </c>
      <c r="J551" s="1" t="s">
        <v>113</v>
      </c>
      <c r="K551">
        <v>1</v>
      </c>
      <c r="L551">
        <v>0</v>
      </c>
      <c r="M551" t="str">
        <f>IF(tblPenalties[[#This Row],[total_yards]]=0, "Declined", "Accepted")</f>
        <v>Accepted</v>
      </c>
    </row>
    <row r="552" spans="1:13" x14ac:dyDescent="0.25">
      <c r="A552" s="1" t="s">
        <v>62</v>
      </c>
      <c r="B552" s="1" t="s">
        <v>40</v>
      </c>
      <c r="C552" s="1" t="s">
        <v>112</v>
      </c>
      <c r="D552">
        <v>12</v>
      </c>
      <c r="E552">
        <v>83</v>
      </c>
      <c r="F552">
        <v>6.92</v>
      </c>
      <c r="J552" s="1" t="s">
        <v>113</v>
      </c>
      <c r="K552">
        <v>1</v>
      </c>
      <c r="L552">
        <v>0</v>
      </c>
      <c r="M552" t="str">
        <f>IF(tblPenalties[[#This Row],[total_yards]]=0, "Declined", "Accepted")</f>
        <v>Accepted</v>
      </c>
    </row>
    <row r="553" spans="1:13" x14ac:dyDescent="0.25">
      <c r="A553" s="1" t="s">
        <v>63</v>
      </c>
      <c r="B553" s="1" t="s">
        <v>13</v>
      </c>
      <c r="C553" s="1" t="s">
        <v>112</v>
      </c>
      <c r="D553">
        <v>8</v>
      </c>
      <c r="E553">
        <v>65</v>
      </c>
      <c r="F553">
        <v>8.1199999999999992</v>
      </c>
      <c r="J553" s="1" t="s">
        <v>113</v>
      </c>
      <c r="K553">
        <v>1</v>
      </c>
      <c r="L553">
        <v>0</v>
      </c>
      <c r="M553" t="str">
        <f>IF(tblPenalties[[#This Row],[total_yards]]=0, "Declined", "Accepted")</f>
        <v>Accepted</v>
      </c>
    </row>
    <row r="554" spans="1:13" x14ac:dyDescent="0.25">
      <c r="A554" s="1" t="s">
        <v>64</v>
      </c>
      <c r="B554" s="1" t="s">
        <v>52</v>
      </c>
      <c r="C554" s="1" t="s">
        <v>112</v>
      </c>
      <c r="D554">
        <v>3</v>
      </c>
      <c r="E554">
        <v>14</v>
      </c>
      <c r="F554">
        <v>4.67</v>
      </c>
      <c r="J554" s="1" t="s">
        <v>113</v>
      </c>
      <c r="K554">
        <v>1</v>
      </c>
      <c r="L554">
        <v>0</v>
      </c>
      <c r="M554" t="str">
        <f>IF(tblPenalties[[#This Row],[total_yards]]=0, "Declined", "Accepted")</f>
        <v>Accepted</v>
      </c>
    </row>
    <row r="555" spans="1:13" x14ac:dyDescent="0.25">
      <c r="A555" s="1" t="s">
        <v>65</v>
      </c>
      <c r="B555" s="1" t="s">
        <v>34</v>
      </c>
      <c r="C555" s="1" t="s">
        <v>112</v>
      </c>
      <c r="D555">
        <v>3</v>
      </c>
      <c r="E555">
        <v>19</v>
      </c>
      <c r="F555">
        <v>6.33</v>
      </c>
      <c r="J555" s="1" t="s">
        <v>113</v>
      </c>
      <c r="K555">
        <v>1</v>
      </c>
      <c r="L555">
        <v>0</v>
      </c>
      <c r="M555" t="str">
        <f>IF(tblPenalties[[#This Row],[total_yards]]=0, "Declined", "Accepted")</f>
        <v>Accepted</v>
      </c>
    </row>
    <row r="556" spans="1:13" x14ac:dyDescent="0.25">
      <c r="A556" s="1" t="s">
        <v>66</v>
      </c>
      <c r="B556" s="1" t="s">
        <v>21</v>
      </c>
      <c r="C556" s="1" t="s">
        <v>112</v>
      </c>
      <c r="D556">
        <v>6</v>
      </c>
      <c r="E556">
        <v>100</v>
      </c>
      <c r="F556">
        <v>16.670000000000002</v>
      </c>
      <c r="J556" s="1" t="s">
        <v>113</v>
      </c>
      <c r="K556">
        <v>1</v>
      </c>
      <c r="L556">
        <v>0</v>
      </c>
      <c r="M556" t="str">
        <f>IF(tblPenalties[[#This Row],[total_yards]]=0, "Declined", "Accepted")</f>
        <v>Accepted</v>
      </c>
    </row>
    <row r="557" spans="1:13" x14ac:dyDescent="0.25">
      <c r="A557" s="1" t="s">
        <v>67</v>
      </c>
      <c r="B557" s="1" t="s">
        <v>52</v>
      </c>
      <c r="C557" s="1" t="s">
        <v>112</v>
      </c>
      <c r="D557">
        <v>12</v>
      </c>
      <c r="E557">
        <v>97</v>
      </c>
      <c r="F557">
        <v>8.08</v>
      </c>
      <c r="J557" s="1" t="s">
        <v>113</v>
      </c>
      <c r="K557">
        <v>1</v>
      </c>
      <c r="L557">
        <v>0</v>
      </c>
      <c r="M557" t="str">
        <f>IF(tblPenalties[[#This Row],[total_yards]]=0, "Declined", "Accepted")</f>
        <v>Accepted</v>
      </c>
    </row>
    <row r="558" spans="1:13" x14ac:dyDescent="0.25">
      <c r="A558" s="1" t="s">
        <v>68</v>
      </c>
      <c r="B558" s="1" t="s">
        <v>19</v>
      </c>
      <c r="C558" s="1" t="s">
        <v>112</v>
      </c>
      <c r="D558">
        <v>8</v>
      </c>
      <c r="E558">
        <v>96</v>
      </c>
      <c r="F558">
        <v>12</v>
      </c>
      <c r="J558" s="1" t="s">
        <v>113</v>
      </c>
      <c r="K558">
        <v>1</v>
      </c>
      <c r="L558">
        <v>0</v>
      </c>
      <c r="M558" t="str">
        <f>IF(tblPenalties[[#This Row],[total_yards]]=0, "Declined", "Accepted")</f>
        <v>Accepted</v>
      </c>
    </row>
    <row r="559" spans="1:13" x14ac:dyDescent="0.25">
      <c r="A559" s="1" t="s">
        <v>69</v>
      </c>
      <c r="B559" s="1" t="s">
        <v>40</v>
      </c>
      <c r="C559" s="1" t="s">
        <v>112</v>
      </c>
      <c r="D559">
        <v>11</v>
      </c>
      <c r="E559">
        <v>57</v>
      </c>
      <c r="F559">
        <v>5.18</v>
      </c>
      <c r="J559" s="1" t="s">
        <v>113</v>
      </c>
      <c r="K559">
        <v>1</v>
      </c>
      <c r="L559">
        <v>0</v>
      </c>
      <c r="M559" t="str">
        <f>IF(tblPenalties[[#This Row],[total_yards]]=0, "Declined", "Accepted")</f>
        <v>Accepted</v>
      </c>
    </row>
    <row r="560" spans="1:13" x14ac:dyDescent="0.25">
      <c r="A560" s="1" t="s">
        <v>70</v>
      </c>
      <c r="B560" s="1" t="s">
        <v>21</v>
      </c>
      <c r="C560" s="1" t="s">
        <v>112</v>
      </c>
      <c r="D560">
        <v>7</v>
      </c>
      <c r="E560">
        <v>22</v>
      </c>
      <c r="F560">
        <v>3.14</v>
      </c>
      <c r="J560" s="1" t="s">
        <v>113</v>
      </c>
      <c r="K560">
        <v>1</v>
      </c>
      <c r="L560">
        <v>0</v>
      </c>
      <c r="M560" t="str">
        <f>IF(tblPenalties[[#This Row],[total_yards]]=0, "Declined", "Accepted")</f>
        <v>Accepted</v>
      </c>
    </row>
    <row r="561" spans="1:13" x14ac:dyDescent="0.25">
      <c r="A561" s="1" t="s">
        <v>71</v>
      </c>
      <c r="B561" s="1" t="s">
        <v>34</v>
      </c>
      <c r="C561" s="1" t="s">
        <v>112</v>
      </c>
      <c r="D561">
        <v>7</v>
      </c>
      <c r="E561">
        <v>23</v>
      </c>
      <c r="F561">
        <v>3.29</v>
      </c>
      <c r="J561" s="1" t="s">
        <v>113</v>
      </c>
      <c r="K561">
        <v>1</v>
      </c>
      <c r="L561">
        <v>0</v>
      </c>
      <c r="M561" t="str">
        <f>IF(tblPenalties[[#This Row],[total_yards]]=0, "Declined", "Accepted")</f>
        <v>Accepted</v>
      </c>
    </row>
    <row r="562" spans="1:13" x14ac:dyDescent="0.25">
      <c r="A562" s="1" t="s">
        <v>72</v>
      </c>
      <c r="B562" s="1" t="s">
        <v>34</v>
      </c>
      <c r="C562" s="1" t="s">
        <v>112</v>
      </c>
      <c r="D562">
        <v>7</v>
      </c>
      <c r="E562">
        <v>51</v>
      </c>
      <c r="F562">
        <v>7.29</v>
      </c>
      <c r="J562" s="1" t="s">
        <v>113</v>
      </c>
      <c r="K562">
        <v>1</v>
      </c>
      <c r="L562">
        <v>0</v>
      </c>
      <c r="M562" t="str">
        <f>IF(tblPenalties[[#This Row],[total_yards]]=0, "Declined", "Accepted")</f>
        <v>Accepted</v>
      </c>
    </row>
    <row r="563" spans="1:13" x14ac:dyDescent="0.25">
      <c r="A563" s="1" t="s">
        <v>148</v>
      </c>
      <c r="B563" s="1" t="s">
        <v>52</v>
      </c>
      <c r="C563" s="1" t="s">
        <v>112</v>
      </c>
      <c r="D563">
        <v>5</v>
      </c>
      <c r="E563">
        <v>3</v>
      </c>
      <c r="F563">
        <v>0.6</v>
      </c>
      <c r="J563" s="1" t="s">
        <v>113</v>
      </c>
      <c r="K563">
        <v>1</v>
      </c>
      <c r="L563">
        <v>0</v>
      </c>
      <c r="M563" t="str">
        <f>IF(tblPenalties[[#This Row],[total_yards]]=0, "Declined", "Accepted")</f>
        <v>Accepted</v>
      </c>
    </row>
    <row r="564" spans="1:13" x14ac:dyDescent="0.25">
      <c r="A564" s="1" t="s">
        <v>73</v>
      </c>
      <c r="B564" s="1" t="s">
        <v>26</v>
      </c>
      <c r="C564" s="1" t="s">
        <v>112</v>
      </c>
      <c r="D564">
        <v>12</v>
      </c>
      <c r="E564">
        <v>57</v>
      </c>
      <c r="F564">
        <v>4.75</v>
      </c>
      <c r="J564" s="1" t="s">
        <v>113</v>
      </c>
      <c r="K564">
        <v>1</v>
      </c>
      <c r="L564">
        <v>0</v>
      </c>
      <c r="M564" t="str">
        <f>IF(tblPenalties[[#This Row],[total_yards]]=0, "Declined", "Accepted")</f>
        <v>Accepted</v>
      </c>
    </row>
    <row r="565" spans="1:13" x14ac:dyDescent="0.25">
      <c r="A565" s="1" t="s">
        <v>74</v>
      </c>
      <c r="B565" s="1" t="s">
        <v>40</v>
      </c>
      <c r="C565" s="1" t="s">
        <v>112</v>
      </c>
      <c r="D565">
        <v>15</v>
      </c>
      <c r="E565">
        <v>288</v>
      </c>
      <c r="F565">
        <v>19.2</v>
      </c>
      <c r="J565" s="1" t="s">
        <v>113</v>
      </c>
      <c r="K565">
        <v>1</v>
      </c>
      <c r="L565">
        <v>0</v>
      </c>
      <c r="M565" t="str">
        <f>IF(tblPenalties[[#This Row],[total_yards]]=0, "Declined", "Accepted")</f>
        <v>Accepted</v>
      </c>
    </row>
    <row r="566" spans="1:13" x14ac:dyDescent="0.25">
      <c r="A566" s="1" t="s">
        <v>150</v>
      </c>
      <c r="B566" s="1" t="s">
        <v>28</v>
      </c>
      <c r="C566" s="1" t="s">
        <v>112</v>
      </c>
      <c r="D566">
        <v>6</v>
      </c>
      <c r="E566">
        <v>50</v>
      </c>
      <c r="F566">
        <v>8.33</v>
      </c>
      <c r="J566" s="1" t="s">
        <v>113</v>
      </c>
      <c r="K566">
        <v>1</v>
      </c>
      <c r="L566">
        <v>0</v>
      </c>
      <c r="M566" t="str">
        <f>IF(tblPenalties[[#This Row],[total_yards]]=0, "Declined", "Accepted")</f>
        <v>Accepted</v>
      </c>
    </row>
    <row r="567" spans="1:13" x14ac:dyDescent="0.25">
      <c r="A567" s="1" t="s">
        <v>140</v>
      </c>
      <c r="B567" s="1" t="s">
        <v>52</v>
      </c>
      <c r="C567" s="1" t="s">
        <v>112</v>
      </c>
      <c r="D567">
        <v>9</v>
      </c>
      <c r="E567">
        <v>25</v>
      </c>
      <c r="F567">
        <v>2.78</v>
      </c>
      <c r="J567" s="1" t="s">
        <v>113</v>
      </c>
      <c r="K567">
        <v>1</v>
      </c>
      <c r="L567">
        <v>0</v>
      </c>
      <c r="M567" t="str">
        <f>IF(tblPenalties[[#This Row],[total_yards]]=0, "Declined", "Accepted")</f>
        <v>Accepted</v>
      </c>
    </row>
    <row r="568" spans="1:13" x14ac:dyDescent="0.25">
      <c r="A568" s="1" t="s">
        <v>75</v>
      </c>
      <c r="B568" s="1" t="s">
        <v>13</v>
      </c>
      <c r="C568" s="1" t="s">
        <v>112</v>
      </c>
      <c r="D568">
        <v>15</v>
      </c>
      <c r="E568">
        <v>168</v>
      </c>
      <c r="F568">
        <v>11.2</v>
      </c>
      <c r="J568" s="1" t="s">
        <v>113</v>
      </c>
      <c r="K568">
        <v>1</v>
      </c>
      <c r="L568">
        <v>0</v>
      </c>
      <c r="M568" t="str">
        <f>IF(tblPenalties[[#This Row],[total_yards]]=0, "Declined", "Accepted")</f>
        <v>Accepted</v>
      </c>
    </row>
    <row r="569" spans="1:13" x14ac:dyDescent="0.25">
      <c r="A569" s="1" t="s">
        <v>76</v>
      </c>
      <c r="B569" s="1" t="s">
        <v>21</v>
      </c>
      <c r="C569" s="1" t="s">
        <v>112</v>
      </c>
      <c r="D569">
        <v>9</v>
      </c>
      <c r="E569">
        <v>71</v>
      </c>
      <c r="F569">
        <v>7.89</v>
      </c>
      <c r="J569" s="1" t="s">
        <v>113</v>
      </c>
      <c r="K569">
        <v>1</v>
      </c>
      <c r="L569">
        <v>0</v>
      </c>
      <c r="M569" t="str">
        <f>IF(tblPenalties[[#This Row],[total_yards]]=0, "Declined", "Accepted")</f>
        <v>Accepted</v>
      </c>
    </row>
    <row r="570" spans="1:13" x14ac:dyDescent="0.25">
      <c r="A570" s="1" t="s">
        <v>77</v>
      </c>
      <c r="B570" s="1" t="s">
        <v>17</v>
      </c>
      <c r="C570" s="1" t="s">
        <v>112</v>
      </c>
      <c r="D570">
        <v>10</v>
      </c>
      <c r="E570">
        <v>39</v>
      </c>
      <c r="F570">
        <v>3.9</v>
      </c>
      <c r="J570" s="1" t="s">
        <v>113</v>
      </c>
      <c r="K570">
        <v>1</v>
      </c>
      <c r="L570">
        <v>0</v>
      </c>
      <c r="M570" t="str">
        <f>IF(tblPenalties[[#This Row],[total_yards]]=0, "Declined", "Accepted")</f>
        <v>Accepted</v>
      </c>
    </row>
    <row r="571" spans="1:13" x14ac:dyDescent="0.25">
      <c r="A571" s="1" t="s">
        <v>78</v>
      </c>
      <c r="B571" s="1" t="s">
        <v>79</v>
      </c>
      <c r="C571" s="1" t="s">
        <v>112</v>
      </c>
      <c r="D571">
        <v>11</v>
      </c>
      <c r="E571">
        <v>19</v>
      </c>
      <c r="F571">
        <v>1.73</v>
      </c>
      <c r="J571" s="1" t="s">
        <v>113</v>
      </c>
      <c r="K571">
        <v>1</v>
      </c>
      <c r="L571">
        <v>0</v>
      </c>
      <c r="M571" t="str">
        <f>IF(tblPenalties[[#This Row],[total_yards]]=0, "Declined", "Accepted")</f>
        <v>Accepted</v>
      </c>
    </row>
    <row r="572" spans="1:13" x14ac:dyDescent="0.25">
      <c r="A572" s="1" t="s">
        <v>80</v>
      </c>
      <c r="B572" s="1" t="s">
        <v>52</v>
      </c>
      <c r="C572" s="1" t="s">
        <v>112</v>
      </c>
      <c r="D572">
        <v>2</v>
      </c>
      <c r="E572">
        <v>9</v>
      </c>
      <c r="F572">
        <v>4.5</v>
      </c>
      <c r="J572" s="1" t="s">
        <v>113</v>
      </c>
      <c r="K572">
        <v>1</v>
      </c>
      <c r="L572">
        <v>0</v>
      </c>
      <c r="M572" t="str">
        <f>IF(tblPenalties[[#This Row],[total_yards]]=0, "Declined", "Accepted")</f>
        <v>Accepted</v>
      </c>
    </row>
    <row r="573" spans="1:13" x14ac:dyDescent="0.25">
      <c r="A573" s="1" t="s">
        <v>81</v>
      </c>
      <c r="B573" s="1" t="s">
        <v>52</v>
      </c>
      <c r="C573" s="1" t="s">
        <v>112</v>
      </c>
      <c r="D573">
        <v>8</v>
      </c>
      <c r="E573">
        <v>70</v>
      </c>
      <c r="F573">
        <v>8.75</v>
      </c>
      <c r="J573" s="1" t="s">
        <v>113</v>
      </c>
      <c r="K573">
        <v>1</v>
      </c>
      <c r="L573">
        <v>0</v>
      </c>
      <c r="M573" t="str">
        <f>IF(tblPenalties[[#This Row],[total_yards]]=0, "Declined", "Accepted")</f>
        <v>Accepted</v>
      </c>
    </row>
    <row r="574" spans="1:13" x14ac:dyDescent="0.25">
      <c r="A574" s="1" t="s">
        <v>82</v>
      </c>
      <c r="B574" s="1" t="s">
        <v>34</v>
      </c>
      <c r="C574" s="1" t="s">
        <v>112</v>
      </c>
      <c r="D574">
        <v>8</v>
      </c>
      <c r="E574">
        <v>131</v>
      </c>
      <c r="F574">
        <v>16.38</v>
      </c>
      <c r="J574" s="1" t="s">
        <v>113</v>
      </c>
      <c r="K574">
        <v>1</v>
      </c>
      <c r="L574">
        <v>0</v>
      </c>
      <c r="M574" t="str">
        <f>IF(tblPenalties[[#This Row],[total_yards]]=0, "Declined", "Accepted")</f>
        <v>Accepted</v>
      </c>
    </row>
    <row r="575" spans="1:13" x14ac:dyDescent="0.25">
      <c r="A575" s="1" t="s">
        <v>83</v>
      </c>
      <c r="B575" s="1" t="s">
        <v>52</v>
      </c>
      <c r="C575" s="1" t="s">
        <v>112</v>
      </c>
      <c r="D575">
        <v>7</v>
      </c>
      <c r="E575">
        <v>118</v>
      </c>
      <c r="F575">
        <v>16.86</v>
      </c>
      <c r="J575" s="1" t="s">
        <v>113</v>
      </c>
      <c r="K575">
        <v>1</v>
      </c>
      <c r="L575">
        <v>0</v>
      </c>
      <c r="M575" t="str">
        <f>IF(tblPenalties[[#This Row],[total_yards]]=0, "Declined", "Accepted")</f>
        <v>Accepted</v>
      </c>
    </row>
    <row r="576" spans="1:13" x14ac:dyDescent="0.25">
      <c r="A576" s="1" t="s">
        <v>84</v>
      </c>
      <c r="B576" s="1" t="s">
        <v>13</v>
      </c>
      <c r="C576" s="1" t="s">
        <v>112</v>
      </c>
      <c r="D576">
        <v>11</v>
      </c>
      <c r="E576">
        <v>72</v>
      </c>
      <c r="F576">
        <v>6.55</v>
      </c>
      <c r="J576" s="1" t="s">
        <v>113</v>
      </c>
      <c r="K576">
        <v>1</v>
      </c>
      <c r="L576">
        <v>0</v>
      </c>
      <c r="M576" t="str">
        <f>IF(tblPenalties[[#This Row],[total_yards]]=0, "Declined", "Accepted")</f>
        <v>Accepted</v>
      </c>
    </row>
    <row r="577" spans="1:13" x14ac:dyDescent="0.25">
      <c r="A577" s="1" t="s">
        <v>85</v>
      </c>
      <c r="B577" s="1" t="s">
        <v>28</v>
      </c>
      <c r="C577" s="1" t="s">
        <v>112</v>
      </c>
      <c r="D577">
        <v>14</v>
      </c>
      <c r="E577">
        <v>59</v>
      </c>
      <c r="F577">
        <v>4.21</v>
      </c>
      <c r="J577" s="1" t="s">
        <v>113</v>
      </c>
      <c r="K577">
        <v>1</v>
      </c>
      <c r="L577">
        <v>0</v>
      </c>
      <c r="M577" t="str">
        <f>IF(tblPenalties[[#This Row],[total_yards]]=0, "Declined", "Accepted")</f>
        <v>Accepted</v>
      </c>
    </row>
    <row r="578" spans="1:13" x14ac:dyDescent="0.25">
      <c r="A578" s="1" t="s">
        <v>86</v>
      </c>
      <c r="B578" s="1" t="s">
        <v>40</v>
      </c>
      <c r="C578" s="1" t="s">
        <v>112</v>
      </c>
      <c r="D578">
        <v>11</v>
      </c>
      <c r="E578">
        <v>94</v>
      </c>
      <c r="F578">
        <v>8.5500000000000007</v>
      </c>
      <c r="J578" s="1" t="s">
        <v>113</v>
      </c>
      <c r="K578">
        <v>1</v>
      </c>
      <c r="L578">
        <v>0</v>
      </c>
      <c r="M578" t="str">
        <f>IF(tblPenalties[[#This Row],[total_yards]]=0, "Declined", "Accepted")</f>
        <v>Accepted</v>
      </c>
    </row>
    <row r="579" spans="1:13" x14ac:dyDescent="0.25">
      <c r="A579" s="1" t="s">
        <v>87</v>
      </c>
      <c r="B579" s="1" t="s">
        <v>26</v>
      </c>
      <c r="C579" s="1" t="s">
        <v>112</v>
      </c>
      <c r="D579">
        <v>6</v>
      </c>
      <c r="E579">
        <v>46</v>
      </c>
      <c r="F579">
        <v>7.67</v>
      </c>
      <c r="J579" s="1" t="s">
        <v>113</v>
      </c>
      <c r="K579">
        <v>1</v>
      </c>
      <c r="L579">
        <v>0</v>
      </c>
      <c r="M579" t="str">
        <f>IF(tblPenalties[[#This Row],[total_yards]]=0, "Declined", "Accepted")</f>
        <v>Accepted</v>
      </c>
    </row>
    <row r="580" spans="1:13" x14ac:dyDescent="0.25">
      <c r="A580" s="1" t="s">
        <v>149</v>
      </c>
      <c r="B580" s="1" t="s">
        <v>26</v>
      </c>
      <c r="C580" s="1" t="s">
        <v>112</v>
      </c>
      <c r="D580">
        <v>12</v>
      </c>
      <c r="E580">
        <v>95</v>
      </c>
      <c r="F580">
        <v>7.92</v>
      </c>
      <c r="J580" s="1" t="s">
        <v>113</v>
      </c>
      <c r="K580">
        <v>1</v>
      </c>
      <c r="L580">
        <v>0</v>
      </c>
      <c r="M580" t="str">
        <f>IF(tblPenalties[[#This Row],[total_yards]]=0, "Declined", "Accepted")</f>
        <v>Accepted</v>
      </c>
    </row>
    <row r="581" spans="1:13" x14ac:dyDescent="0.25">
      <c r="A581" s="1" t="s">
        <v>88</v>
      </c>
      <c r="B581" s="1" t="s">
        <v>19</v>
      </c>
      <c r="C581" s="1" t="s">
        <v>112</v>
      </c>
      <c r="D581">
        <v>15</v>
      </c>
      <c r="E581">
        <v>135</v>
      </c>
      <c r="F581">
        <v>9</v>
      </c>
      <c r="J581" s="1" t="s">
        <v>113</v>
      </c>
      <c r="K581">
        <v>1</v>
      </c>
      <c r="L581">
        <v>0</v>
      </c>
      <c r="M581" t="str">
        <f>IF(tblPenalties[[#This Row],[total_yards]]=0, "Declined", "Accepted")</f>
        <v>Accepted</v>
      </c>
    </row>
    <row r="582" spans="1:13" x14ac:dyDescent="0.25">
      <c r="A582" s="1" t="s">
        <v>89</v>
      </c>
      <c r="B582" s="1" t="s">
        <v>13</v>
      </c>
      <c r="C582" s="1" t="s">
        <v>112</v>
      </c>
      <c r="D582">
        <v>16</v>
      </c>
      <c r="E582">
        <v>149</v>
      </c>
      <c r="F582">
        <v>9.31</v>
      </c>
      <c r="J582" s="1" t="s">
        <v>113</v>
      </c>
      <c r="K582">
        <v>1</v>
      </c>
      <c r="L582">
        <v>0</v>
      </c>
      <c r="M582" t="str">
        <f>IF(tblPenalties[[#This Row],[total_yards]]=0, "Declined", "Accepted")</f>
        <v>Accepted</v>
      </c>
    </row>
    <row r="583" spans="1:13" x14ac:dyDescent="0.25">
      <c r="A583" s="1" t="s">
        <v>141</v>
      </c>
      <c r="B583" s="1" t="s">
        <v>28</v>
      </c>
      <c r="C583" s="1" t="s">
        <v>112</v>
      </c>
      <c r="D583">
        <v>12</v>
      </c>
      <c r="E583">
        <v>141</v>
      </c>
      <c r="F583">
        <v>11.75</v>
      </c>
      <c r="J583" s="1" t="s">
        <v>113</v>
      </c>
      <c r="K583">
        <v>1</v>
      </c>
      <c r="L583">
        <v>0</v>
      </c>
      <c r="M583" t="str">
        <f>IF(tblPenalties[[#This Row],[total_yards]]=0, "Declined", "Accepted")</f>
        <v>Accepted</v>
      </c>
    </row>
    <row r="584" spans="1:13" x14ac:dyDescent="0.25">
      <c r="A584" s="1" t="s">
        <v>90</v>
      </c>
      <c r="B584" s="1" t="s">
        <v>28</v>
      </c>
      <c r="C584" s="1" t="s">
        <v>112</v>
      </c>
      <c r="D584">
        <v>6</v>
      </c>
      <c r="E584">
        <v>15</v>
      </c>
      <c r="F584">
        <v>2.5</v>
      </c>
      <c r="J584" s="1" t="s">
        <v>113</v>
      </c>
      <c r="K584">
        <v>1</v>
      </c>
      <c r="L584">
        <v>0</v>
      </c>
      <c r="M584" t="str">
        <f>IF(tblPenalties[[#This Row],[total_yards]]=0, "Declined", "Accepted")</f>
        <v>Accepted</v>
      </c>
    </row>
    <row r="585" spans="1:13" x14ac:dyDescent="0.25">
      <c r="A585" s="1" t="s">
        <v>91</v>
      </c>
      <c r="B585" s="1" t="s">
        <v>17</v>
      </c>
      <c r="C585" s="1" t="s">
        <v>112</v>
      </c>
      <c r="D585">
        <v>8</v>
      </c>
      <c r="E585">
        <v>78</v>
      </c>
      <c r="F585">
        <v>9.75</v>
      </c>
      <c r="J585" s="1" t="s">
        <v>113</v>
      </c>
      <c r="K585">
        <v>1</v>
      </c>
      <c r="L585">
        <v>0</v>
      </c>
      <c r="M585" t="str">
        <f>IF(tblPenalties[[#This Row],[total_yards]]=0, "Declined", "Accepted")</f>
        <v>Accepted</v>
      </c>
    </row>
    <row r="586" spans="1:13" x14ac:dyDescent="0.25">
      <c r="A586" s="1" t="s">
        <v>92</v>
      </c>
      <c r="B586" s="1" t="s">
        <v>34</v>
      </c>
      <c r="C586" s="1" t="s">
        <v>112</v>
      </c>
      <c r="D586">
        <v>7</v>
      </c>
      <c r="E586">
        <v>50</v>
      </c>
      <c r="F586">
        <v>7.14</v>
      </c>
      <c r="J586" s="1" t="s">
        <v>113</v>
      </c>
      <c r="K586">
        <v>1</v>
      </c>
      <c r="L586">
        <v>0</v>
      </c>
      <c r="M586" t="str">
        <f>IF(tblPenalties[[#This Row],[total_yards]]=0, "Declined", "Accepted")</f>
        <v>Accepted</v>
      </c>
    </row>
    <row r="587" spans="1:13" x14ac:dyDescent="0.25">
      <c r="A587" s="1" t="s">
        <v>131</v>
      </c>
      <c r="B587" s="1" t="s">
        <v>13</v>
      </c>
      <c r="C587" s="1" t="s">
        <v>112</v>
      </c>
      <c r="D587">
        <v>11</v>
      </c>
      <c r="E587">
        <v>208</v>
      </c>
      <c r="F587">
        <v>18.91</v>
      </c>
      <c r="J587" s="1" t="s">
        <v>113</v>
      </c>
      <c r="K587">
        <v>1</v>
      </c>
      <c r="L587">
        <v>0</v>
      </c>
      <c r="M587" t="str">
        <f>IF(tblPenalties[[#This Row],[total_yards]]=0, "Declined", "Accepted")</f>
        <v>Accepted</v>
      </c>
    </row>
    <row r="588" spans="1:13" x14ac:dyDescent="0.25">
      <c r="A588" s="1" t="s">
        <v>93</v>
      </c>
      <c r="B588" s="1" t="s">
        <v>21</v>
      </c>
      <c r="C588" s="1" t="s">
        <v>112</v>
      </c>
      <c r="D588">
        <v>3</v>
      </c>
      <c r="E588">
        <v>7</v>
      </c>
      <c r="F588">
        <v>2.33</v>
      </c>
      <c r="J588" s="1" t="s">
        <v>113</v>
      </c>
      <c r="K588">
        <v>1</v>
      </c>
      <c r="L588">
        <v>0</v>
      </c>
      <c r="M588" t="str">
        <f>IF(tblPenalties[[#This Row],[total_yards]]=0, "Declined", "Accepted")</f>
        <v>Accepted</v>
      </c>
    </row>
    <row r="589" spans="1:13" x14ac:dyDescent="0.25">
      <c r="A589" s="1" t="s">
        <v>94</v>
      </c>
      <c r="B589" s="1" t="s">
        <v>13</v>
      </c>
      <c r="C589" s="1" t="s">
        <v>112</v>
      </c>
      <c r="D589">
        <v>6</v>
      </c>
      <c r="E589">
        <v>34</v>
      </c>
      <c r="F589">
        <v>5.67</v>
      </c>
      <c r="J589" s="1" t="s">
        <v>113</v>
      </c>
      <c r="K589">
        <v>1</v>
      </c>
      <c r="L589">
        <v>0</v>
      </c>
      <c r="M589" t="str">
        <f>IF(tblPenalties[[#This Row],[total_yards]]=0, "Declined", "Accepted")</f>
        <v>Accepted</v>
      </c>
    </row>
    <row r="590" spans="1:13" x14ac:dyDescent="0.25">
      <c r="A590" s="1" t="s">
        <v>95</v>
      </c>
      <c r="B590" s="1" t="s">
        <v>34</v>
      </c>
      <c r="C590" s="1" t="s">
        <v>112</v>
      </c>
      <c r="D590">
        <v>6</v>
      </c>
      <c r="E590">
        <v>28</v>
      </c>
      <c r="F590">
        <v>4.67</v>
      </c>
      <c r="J590" s="1" t="s">
        <v>113</v>
      </c>
      <c r="K590">
        <v>1</v>
      </c>
      <c r="L590">
        <v>0</v>
      </c>
      <c r="M590" t="str">
        <f>IF(tblPenalties[[#This Row],[total_yards]]=0, "Declined", "Accepted")</f>
        <v>Accepted</v>
      </c>
    </row>
    <row r="591" spans="1:13" x14ac:dyDescent="0.25">
      <c r="A591" s="1" t="s">
        <v>96</v>
      </c>
      <c r="B591" s="1" t="s">
        <v>34</v>
      </c>
      <c r="C591" s="1" t="s">
        <v>112</v>
      </c>
      <c r="D591">
        <v>9</v>
      </c>
      <c r="E591">
        <v>39</v>
      </c>
      <c r="F591">
        <v>4.33</v>
      </c>
      <c r="J591" s="1" t="s">
        <v>113</v>
      </c>
      <c r="K591">
        <v>1</v>
      </c>
      <c r="L591">
        <v>0</v>
      </c>
      <c r="M591" t="str">
        <f>IF(tblPenalties[[#This Row],[total_yards]]=0, "Declined", "Accepted")</f>
        <v>Accepted</v>
      </c>
    </row>
    <row r="592" spans="1:13" x14ac:dyDescent="0.25">
      <c r="A592" s="1" t="s">
        <v>97</v>
      </c>
      <c r="B592" s="1" t="s">
        <v>34</v>
      </c>
      <c r="C592" s="1" t="s">
        <v>112</v>
      </c>
      <c r="D592">
        <v>10</v>
      </c>
      <c r="E592">
        <v>45</v>
      </c>
      <c r="F592">
        <v>4.5</v>
      </c>
      <c r="J592" s="1" t="s">
        <v>113</v>
      </c>
      <c r="K592">
        <v>1</v>
      </c>
      <c r="L592">
        <v>0</v>
      </c>
      <c r="M592" t="str">
        <f>IF(tblPenalties[[#This Row],[total_yards]]=0, "Declined", "Accepted")</f>
        <v>Accepted</v>
      </c>
    </row>
    <row r="593" spans="1:13" x14ac:dyDescent="0.25">
      <c r="A593" s="1" t="s">
        <v>98</v>
      </c>
      <c r="B593" s="1" t="s">
        <v>17</v>
      </c>
      <c r="C593" s="1" t="s">
        <v>112</v>
      </c>
      <c r="D593">
        <v>15</v>
      </c>
      <c r="E593">
        <v>121</v>
      </c>
      <c r="F593">
        <v>8.07</v>
      </c>
      <c r="J593" s="1" t="s">
        <v>113</v>
      </c>
      <c r="K593">
        <v>1</v>
      </c>
      <c r="L593">
        <v>0</v>
      </c>
      <c r="M593" t="str">
        <f>IF(tblPenalties[[#This Row],[total_yards]]=0, "Declined", "Accepted")</f>
        <v>Accepted</v>
      </c>
    </row>
    <row r="594" spans="1:13" x14ac:dyDescent="0.25">
      <c r="A594" s="1" t="s">
        <v>142</v>
      </c>
      <c r="B594" s="1" t="s">
        <v>52</v>
      </c>
      <c r="C594" s="1" t="s">
        <v>112</v>
      </c>
      <c r="D594">
        <v>8</v>
      </c>
      <c r="E594">
        <v>64</v>
      </c>
      <c r="F594">
        <v>8</v>
      </c>
      <c r="J594" s="1" t="s">
        <v>113</v>
      </c>
      <c r="K594">
        <v>1</v>
      </c>
      <c r="L594">
        <v>0</v>
      </c>
      <c r="M594" t="str">
        <f>IF(tblPenalties[[#This Row],[total_yards]]=0, "Declined", "Accepted")</f>
        <v>Accepted</v>
      </c>
    </row>
    <row r="595" spans="1:13" x14ac:dyDescent="0.25">
      <c r="A595" s="1" t="s">
        <v>99</v>
      </c>
      <c r="B595" s="1" t="s">
        <v>100</v>
      </c>
      <c r="C595" s="1" t="s">
        <v>112</v>
      </c>
      <c r="D595">
        <v>7</v>
      </c>
      <c r="E595">
        <v>30</v>
      </c>
      <c r="F595">
        <v>4.29</v>
      </c>
      <c r="J595" s="1" t="s">
        <v>113</v>
      </c>
      <c r="K595">
        <v>1</v>
      </c>
      <c r="L595">
        <v>0</v>
      </c>
      <c r="M595" t="str">
        <f>IF(tblPenalties[[#This Row],[total_yards]]=0, "Declined", "Accepted")</f>
        <v>Accepted</v>
      </c>
    </row>
    <row r="596" spans="1:13" x14ac:dyDescent="0.25">
      <c r="A596" s="1" t="s">
        <v>151</v>
      </c>
      <c r="B596" s="1" t="s">
        <v>13</v>
      </c>
      <c r="C596" s="1" t="s">
        <v>112</v>
      </c>
      <c r="D596">
        <v>11</v>
      </c>
      <c r="E596">
        <v>104</v>
      </c>
      <c r="F596">
        <v>9.4499999999999993</v>
      </c>
      <c r="J596" s="1" t="s">
        <v>113</v>
      </c>
      <c r="K596">
        <v>1</v>
      </c>
      <c r="L596">
        <v>0</v>
      </c>
      <c r="M596" t="str">
        <f>IF(tblPenalties[[#This Row],[total_yards]]=0, "Declined", "Accepted")</f>
        <v>Accepted</v>
      </c>
    </row>
    <row r="597" spans="1:13" x14ac:dyDescent="0.25">
      <c r="A597" s="1" t="s">
        <v>101</v>
      </c>
      <c r="B597" s="1" t="s">
        <v>21</v>
      </c>
      <c r="C597" s="1" t="s">
        <v>112</v>
      </c>
      <c r="D597">
        <v>17</v>
      </c>
      <c r="E597">
        <v>72</v>
      </c>
      <c r="F597">
        <v>4.24</v>
      </c>
      <c r="J597" s="1" t="s">
        <v>113</v>
      </c>
      <c r="K597">
        <v>1</v>
      </c>
      <c r="L597">
        <v>0</v>
      </c>
      <c r="M597" t="str">
        <f>IF(tblPenalties[[#This Row],[total_yards]]=0, "Declined", "Accepted")</f>
        <v>Accepted</v>
      </c>
    </row>
    <row r="598" spans="1:13" x14ac:dyDescent="0.25">
      <c r="A598" s="1" t="s">
        <v>102</v>
      </c>
      <c r="B598" s="1" t="s">
        <v>26</v>
      </c>
      <c r="C598" s="1" t="s">
        <v>112</v>
      </c>
      <c r="D598">
        <v>6</v>
      </c>
      <c r="E598">
        <v>77</v>
      </c>
      <c r="F598">
        <v>12.83</v>
      </c>
      <c r="J598" s="1" t="s">
        <v>113</v>
      </c>
      <c r="K598">
        <v>1</v>
      </c>
      <c r="L598">
        <v>0</v>
      </c>
      <c r="M598" t="str">
        <f>IF(tblPenalties[[#This Row],[total_yards]]=0, "Declined", "Accepted")</f>
        <v>Accepted</v>
      </c>
    </row>
    <row r="599" spans="1:13" x14ac:dyDescent="0.25">
      <c r="A599" s="1" t="s">
        <v>103</v>
      </c>
      <c r="B599" s="1" t="s">
        <v>34</v>
      </c>
      <c r="C599" s="1" t="s">
        <v>112</v>
      </c>
      <c r="D599">
        <v>10</v>
      </c>
      <c r="E599">
        <v>61</v>
      </c>
      <c r="F599">
        <v>6.1</v>
      </c>
      <c r="J599" s="1" t="s">
        <v>113</v>
      </c>
      <c r="K599">
        <v>1</v>
      </c>
      <c r="L599">
        <v>0</v>
      </c>
      <c r="M599" t="str">
        <f>IF(tblPenalties[[#This Row],[total_yards]]=0, "Declined", "Accepted")</f>
        <v>Accepted</v>
      </c>
    </row>
    <row r="600" spans="1:13" x14ac:dyDescent="0.25">
      <c r="A600" s="1" t="s">
        <v>143</v>
      </c>
      <c r="B600" s="1" t="s">
        <v>40</v>
      </c>
      <c r="C600" s="1" t="s">
        <v>112</v>
      </c>
      <c r="D600">
        <v>9</v>
      </c>
      <c r="E600">
        <v>70</v>
      </c>
      <c r="F600">
        <v>7.78</v>
      </c>
      <c r="J600" s="1" t="s">
        <v>113</v>
      </c>
      <c r="K600">
        <v>1</v>
      </c>
      <c r="L600">
        <v>0</v>
      </c>
      <c r="M600" t="str">
        <f>IF(tblPenalties[[#This Row],[total_yards]]=0, "Declined", "Accepted")</f>
        <v>Accepted</v>
      </c>
    </row>
    <row r="601" spans="1:13" x14ac:dyDescent="0.25">
      <c r="A601" s="1" t="s">
        <v>104</v>
      </c>
      <c r="B601" s="1" t="s">
        <v>34</v>
      </c>
      <c r="C601" s="1" t="s">
        <v>112</v>
      </c>
      <c r="D601">
        <v>14</v>
      </c>
      <c r="E601">
        <v>82</v>
      </c>
      <c r="F601">
        <v>5.86</v>
      </c>
      <c r="J601" s="1" t="s">
        <v>113</v>
      </c>
      <c r="K601">
        <v>1</v>
      </c>
      <c r="L601">
        <v>0</v>
      </c>
      <c r="M601" t="str">
        <f>IF(tblPenalties[[#This Row],[total_yards]]=0, "Declined", "Accepted")</f>
        <v>Accepted</v>
      </c>
    </row>
    <row r="602" spans="1:13" x14ac:dyDescent="0.25">
      <c r="A602" s="1" t="s">
        <v>105</v>
      </c>
      <c r="B602" s="1" t="s">
        <v>26</v>
      </c>
      <c r="C602" s="1" t="s">
        <v>112</v>
      </c>
      <c r="D602">
        <v>13</v>
      </c>
      <c r="E602">
        <v>55</v>
      </c>
      <c r="F602">
        <v>4.2300000000000004</v>
      </c>
      <c r="J602" s="1" t="s">
        <v>113</v>
      </c>
      <c r="K602">
        <v>1</v>
      </c>
      <c r="L602">
        <v>0</v>
      </c>
      <c r="M602" t="str">
        <f>IF(tblPenalties[[#This Row],[total_yards]]=0, "Declined", "Accepted")</f>
        <v>Accepted</v>
      </c>
    </row>
    <row r="603" spans="1:13" x14ac:dyDescent="0.25">
      <c r="A603" s="1" t="s">
        <v>106</v>
      </c>
      <c r="B603" s="1" t="s">
        <v>28</v>
      </c>
      <c r="C603" s="1" t="s">
        <v>112</v>
      </c>
      <c r="D603">
        <v>12</v>
      </c>
      <c r="E603">
        <v>51</v>
      </c>
      <c r="F603">
        <v>4.25</v>
      </c>
      <c r="J603" s="1" t="s">
        <v>113</v>
      </c>
      <c r="K603">
        <v>1</v>
      </c>
      <c r="L603">
        <v>0</v>
      </c>
      <c r="M603" t="str">
        <f>IF(tblPenalties[[#This Row],[total_yards]]=0, "Declined", "Accepted")</f>
        <v>Accepted</v>
      </c>
    </row>
    <row r="604" spans="1:13" x14ac:dyDescent="0.25">
      <c r="A604" s="1" t="s">
        <v>107</v>
      </c>
      <c r="B604" s="1" t="s">
        <v>21</v>
      </c>
      <c r="C604" s="1" t="s">
        <v>112</v>
      </c>
      <c r="D604">
        <v>6</v>
      </c>
      <c r="E604">
        <v>56</v>
      </c>
      <c r="F604">
        <v>9.33</v>
      </c>
      <c r="J604" s="1" t="s">
        <v>113</v>
      </c>
      <c r="K604">
        <v>1</v>
      </c>
      <c r="L604">
        <v>0</v>
      </c>
      <c r="M604" t="str">
        <f>IF(tblPenalties[[#This Row],[total_yards]]=0, "Declined", "Accepted")</f>
        <v>Accepted</v>
      </c>
    </row>
    <row r="605" spans="1:13" x14ac:dyDescent="0.25">
      <c r="A605" s="1" t="s">
        <v>132</v>
      </c>
      <c r="B605" s="1" t="s">
        <v>40</v>
      </c>
      <c r="C605" s="1" t="s">
        <v>112</v>
      </c>
      <c r="D605">
        <v>4</v>
      </c>
      <c r="E605">
        <v>69</v>
      </c>
      <c r="F605">
        <v>17.25</v>
      </c>
      <c r="J605" s="1" t="s">
        <v>113</v>
      </c>
      <c r="K605">
        <v>1</v>
      </c>
      <c r="L605">
        <v>0</v>
      </c>
      <c r="M605" t="str">
        <f>IF(tblPenalties[[#This Row],[total_yards]]=0, "Declined", "Accepted")</f>
        <v>Accepted</v>
      </c>
    </row>
    <row r="606" spans="1:13" x14ac:dyDescent="0.25">
      <c r="A606" s="1" t="s">
        <v>108</v>
      </c>
      <c r="B606" s="1" t="s">
        <v>28</v>
      </c>
      <c r="C606" s="1" t="s">
        <v>112</v>
      </c>
      <c r="D606">
        <v>14</v>
      </c>
      <c r="E606">
        <v>88</v>
      </c>
      <c r="F606">
        <v>6.29</v>
      </c>
      <c r="J606" s="1" t="s">
        <v>113</v>
      </c>
      <c r="K606">
        <v>1</v>
      </c>
      <c r="L606">
        <v>0</v>
      </c>
      <c r="M606" t="str">
        <f>IF(tblPenalties[[#This Row],[total_yards]]=0, "Declined", "Accepted")</f>
        <v>Accepted</v>
      </c>
    </row>
    <row r="607" spans="1:13" x14ac:dyDescent="0.25">
      <c r="A607" s="1" t="s">
        <v>133</v>
      </c>
      <c r="B607" s="1" t="s">
        <v>52</v>
      </c>
      <c r="C607" s="1" t="s">
        <v>112</v>
      </c>
      <c r="D607">
        <v>8</v>
      </c>
      <c r="E607">
        <v>135</v>
      </c>
      <c r="F607">
        <v>16.88</v>
      </c>
      <c r="J607" s="1" t="s">
        <v>113</v>
      </c>
      <c r="K607">
        <v>1</v>
      </c>
      <c r="L607">
        <v>0</v>
      </c>
      <c r="M607" t="str">
        <f>IF(tblPenalties[[#This Row],[total_yards]]=0, "Declined", "Accepted")</f>
        <v>Accepted</v>
      </c>
    </row>
    <row r="608" spans="1:13" x14ac:dyDescent="0.25">
      <c r="A608" s="1" t="s">
        <v>109</v>
      </c>
      <c r="B608" s="1" t="s">
        <v>79</v>
      </c>
      <c r="C608" s="1" t="s">
        <v>112</v>
      </c>
      <c r="D608">
        <v>10</v>
      </c>
      <c r="E608">
        <v>102</v>
      </c>
      <c r="F608">
        <v>10.199999999999999</v>
      </c>
      <c r="J608" s="1" t="s">
        <v>113</v>
      </c>
      <c r="K608">
        <v>1</v>
      </c>
      <c r="L608">
        <v>0</v>
      </c>
      <c r="M608" t="str">
        <f>IF(tblPenalties[[#This Row],[total_yards]]=0, "Declined", "Accepted")</f>
        <v>Accepted</v>
      </c>
    </row>
    <row r="609" spans="1:13" x14ac:dyDescent="0.25">
      <c r="A609" s="1" t="s">
        <v>110</v>
      </c>
      <c r="B609" s="1" t="s">
        <v>17</v>
      </c>
      <c r="C609" s="1" t="s">
        <v>112</v>
      </c>
      <c r="D609">
        <v>7</v>
      </c>
      <c r="E609">
        <v>33</v>
      </c>
      <c r="F609">
        <v>4.71</v>
      </c>
      <c r="J609" s="1" t="s">
        <v>113</v>
      </c>
      <c r="K609">
        <v>1</v>
      </c>
      <c r="L609">
        <v>0</v>
      </c>
      <c r="M609" t="str">
        <f>IF(tblPenalties[[#This Row],[total_yards]]=0, "Declined", "Accepted")</f>
        <v>Accepted</v>
      </c>
    </row>
    <row r="610" spans="1:13" x14ac:dyDescent="0.25">
      <c r="A610" s="1" t="s">
        <v>111</v>
      </c>
      <c r="B610" s="1" t="s">
        <v>52</v>
      </c>
      <c r="C610" s="1" t="s">
        <v>112</v>
      </c>
      <c r="D610">
        <v>8</v>
      </c>
      <c r="E610">
        <v>66</v>
      </c>
      <c r="F610">
        <v>8.25</v>
      </c>
      <c r="J610" s="1" t="s">
        <v>113</v>
      </c>
      <c r="K610">
        <v>1</v>
      </c>
      <c r="L610">
        <v>0</v>
      </c>
      <c r="M610" t="str">
        <f>IF(tblPenalties[[#This Row],[total_yards]]=0, "Declined", "Accepted")</f>
        <v>Accepted</v>
      </c>
    </row>
    <row r="611" spans="1:13" x14ac:dyDescent="0.25">
      <c r="A611" s="1" t="s">
        <v>144</v>
      </c>
      <c r="B611" s="1" t="s">
        <v>26</v>
      </c>
      <c r="C611" s="1" t="s">
        <v>112</v>
      </c>
      <c r="D611">
        <v>7</v>
      </c>
      <c r="E611">
        <v>25</v>
      </c>
      <c r="F611">
        <v>3.57</v>
      </c>
      <c r="J611" s="1" t="s">
        <v>113</v>
      </c>
      <c r="K611">
        <v>1</v>
      </c>
      <c r="L611">
        <v>0</v>
      </c>
      <c r="M611" t="str">
        <f>IF(tblPenalties[[#This Row],[total_yards]]=0, "Declined", "Accepted")</f>
        <v>Accepted</v>
      </c>
    </row>
    <row r="612" spans="1:13" x14ac:dyDescent="0.25">
      <c r="A612" s="1" t="s">
        <v>134</v>
      </c>
      <c r="B612" s="1" t="s">
        <v>26</v>
      </c>
      <c r="C612" s="1" t="s">
        <v>122</v>
      </c>
      <c r="D612">
        <v>4</v>
      </c>
      <c r="E612">
        <v>21</v>
      </c>
      <c r="F612">
        <v>5.25</v>
      </c>
      <c r="J612" s="1" t="s">
        <v>113</v>
      </c>
      <c r="K612">
        <v>1</v>
      </c>
      <c r="L612">
        <v>0</v>
      </c>
      <c r="M612" t="str">
        <f>IF(tblPenalties[[#This Row],[total_yards]]=0, "Declined", "Accepted")</f>
        <v>Accepted</v>
      </c>
    </row>
    <row r="613" spans="1:13" x14ac:dyDescent="0.25">
      <c r="A613" s="1" t="s">
        <v>145</v>
      </c>
      <c r="B613" s="1" t="s">
        <v>21</v>
      </c>
      <c r="C613" s="1" t="s">
        <v>122</v>
      </c>
      <c r="D613">
        <v>6</v>
      </c>
      <c r="E613">
        <v>102</v>
      </c>
      <c r="F613">
        <v>17</v>
      </c>
      <c r="J613" s="1" t="s">
        <v>113</v>
      </c>
      <c r="K613">
        <v>1</v>
      </c>
      <c r="L613">
        <v>0</v>
      </c>
      <c r="M613" t="str">
        <f>IF(tblPenalties[[#This Row],[total_yards]]=0, "Declined", "Accepted")</f>
        <v>Accepted</v>
      </c>
    </row>
    <row r="614" spans="1:13" x14ac:dyDescent="0.25">
      <c r="A614" s="1" t="s">
        <v>12</v>
      </c>
      <c r="B614" s="1" t="s">
        <v>13</v>
      </c>
      <c r="C614" s="1" t="s">
        <v>122</v>
      </c>
      <c r="D614">
        <v>4</v>
      </c>
      <c r="E614">
        <v>56</v>
      </c>
      <c r="F614">
        <v>14</v>
      </c>
      <c r="J614" s="1" t="s">
        <v>113</v>
      </c>
      <c r="K614">
        <v>1</v>
      </c>
      <c r="L614">
        <v>0</v>
      </c>
      <c r="M614" t="str">
        <f>IF(tblPenalties[[#This Row],[total_yards]]=0, "Declined", "Accepted")</f>
        <v>Accepted</v>
      </c>
    </row>
    <row r="615" spans="1:13" x14ac:dyDescent="0.25">
      <c r="A615" s="1" t="s">
        <v>16</v>
      </c>
      <c r="B615" s="1" t="s">
        <v>17</v>
      </c>
      <c r="C615" s="1" t="s">
        <v>122</v>
      </c>
      <c r="D615">
        <v>3</v>
      </c>
      <c r="E615">
        <v>43</v>
      </c>
      <c r="F615">
        <v>14.33</v>
      </c>
      <c r="J615" s="1" t="s">
        <v>113</v>
      </c>
      <c r="K615">
        <v>1</v>
      </c>
      <c r="L615">
        <v>0</v>
      </c>
      <c r="M615" t="str">
        <f>IF(tblPenalties[[#This Row],[total_yards]]=0, "Declined", "Accepted")</f>
        <v>Accepted</v>
      </c>
    </row>
    <row r="616" spans="1:13" x14ac:dyDescent="0.25">
      <c r="A616" s="1" t="s">
        <v>18</v>
      </c>
      <c r="B616" s="1" t="s">
        <v>19</v>
      </c>
      <c r="C616" s="1" t="s">
        <v>122</v>
      </c>
      <c r="D616">
        <v>2</v>
      </c>
      <c r="E616">
        <v>45</v>
      </c>
      <c r="F616">
        <v>22.5</v>
      </c>
      <c r="J616" s="1" t="s">
        <v>113</v>
      </c>
      <c r="K616">
        <v>1</v>
      </c>
      <c r="L616">
        <v>0</v>
      </c>
      <c r="M616" t="str">
        <f>IF(tblPenalties[[#This Row],[total_yards]]=0, "Declined", "Accepted")</f>
        <v>Accepted</v>
      </c>
    </row>
    <row r="617" spans="1:13" x14ac:dyDescent="0.25">
      <c r="A617" s="1" t="s">
        <v>126</v>
      </c>
      <c r="B617" s="1" t="s">
        <v>19</v>
      </c>
      <c r="C617" s="1" t="s">
        <v>122</v>
      </c>
      <c r="D617">
        <v>1</v>
      </c>
      <c r="E617">
        <v>10</v>
      </c>
      <c r="F617">
        <v>10</v>
      </c>
      <c r="J617" s="1" t="s">
        <v>113</v>
      </c>
      <c r="K617">
        <v>1</v>
      </c>
      <c r="L617">
        <v>0</v>
      </c>
      <c r="M617" t="str">
        <f>IF(tblPenalties[[#This Row],[total_yards]]=0, "Declined", "Accepted")</f>
        <v>Accepted</v>
      </c>
    </row>
    <row r="618" spans="1:13" x14ac:dyDescent="0.25">
      <c r="A618" s="1" t="s">
        <v>20</v>
      </c>
      <c r="B618" s="1" t="s">
        <v>21</v>
      </c>
      <c r="C618" s="1" t="s">
        <v>122</v>
      </c>
      <c r="D618">
        <v>2</v>
      </c>
      <c r="E618">
        <v>11</v>
      </c>
      <c r="F618">
        <v>5.5</v>
      </c>
      <c r="J618" s="1" t="s">
        <v>113</v>
      </c>
      <c r="K618">
        <v>1</v>
      </c>
      <c r="L618">
        <v>0</v>
      </c>
      <c r="M618" t="str">
        <f>IF(tblPenalties[[#This Row],[total_yards]]=0, "Declined", "Accepted")</f>
        <v>Accepted</v>
      </c>
    </row>
    <row r="619" spans="1:13" x14ac:dyDescent="0.25">
      <c r="A619" s="1" t="s">
        <v>25</v>
      </c>
      <c r="B619" s="1" t="s">
        <v>26</v>
      </c>
      <c r="C619" s="1" t="s">
        <v>122</v>
      </c>
      <c r="D619">
        <v>2</v>
      </c>
      <c r="E619">
        <v>25</v>
      </c>
      <c r="F619">
        <v>12.5</v>
      </c>
      <c r="J619" s="1" t="s">
        <v>113</v>
      </c>
      <c r="K619">
        <v>1</v>
      </c>
      <c r="L619">
        <v>0</v>
      </c>
      <c r="M619" t="str">
        <f>IF(tblPenalties[[#This Row],[total_yards]]=0, "Declined", "Accepted")</f>
        <v>Accepted</v>
      </c>
    </row>
    <row r="620" spans="1:13" x14ac:dyDescent="0.25">
      <c r="A620" s="1" t="s">
        <v>29</v>
      </c>
      <c r="B620" s="1" t="s">
        <v>21</v>
      </c>
      <c r="C620" s="1" t="s">
        <v>122</v>
      </c>
      <c r="D620">
        <v>1</v>
      </c>
      <c r="E620">
        <v>26</v>
      </c>
      <c r="F620">
        <v>26</v>
      </c>
      <c r="J620" s="1" t="s">
        <v>113</v>
      </c>
      <c r="K620">
        <v>1</v>
      </c>
      <c r="L620">
        <v>0</v>
      </c>
      <c r="M620" t="str">
        <f>IF(tblPenalties[[#This Row],[total_yards]]=0, "Declined", "Accepted")</f>
        <v>Accepted</v>
      </c>
    </row>
    <row r="621" spans="1:13" x14ac:dyDescent="0.25">
      <c r="A621" s="1" t="s">
        <v>136</v>
      </c>
      <c r="B621" s="1" t="s">
        <v>21</v>
      </c>
      <c r="C621" s="1" t="s">
        <v>122</v>
      </c>
      <c r="D621">
        <v>2</v>
      </c>
      <c r="E621">
        <v>25</v>
      </c>
      <c r="F621">
        <v>12.5</v>
      </c>
      <c r="J621" s="1" t="s">
        <v>113</v>
      </c>
      <c r="K621">
        <v>1</v>
      </c>
      <c r="L621">
        <v>0</v>
      </c>
      <c r="M621" t="str">
        <f>IF(tblPenalties[[#This Row],[total_yards]]=0, "Declined", "Accepted")</f>
        <v>Accepted</v>
      </c>
    </row>
    <row r="622" spans="1:13" x14ac:dyDescent="0.25">
      <c r="A622" s="1" t="s">
        <v>32</v>
      </c>
      <c r="B622" s="1" t="s">
        <v>28</v>
      </c>
      <c r="C622" s="1" t="s">
        <v>122</v>
      </c>
      <c r="D622">
        <v>3</v>
      </c>
      <c r="E622">
        <v>30</v>
      </c>
      <c r="F622">
        <v>10</v>
      </c>
      <c r="J622" s="1" t="s">
        <v>113</v>
      </c>
      <c r="K622">
        <v>1</v>
      </c>
      <c r="L622">
        <v>0</v>
      </c>
      <c r="M622" t="str">
        <f>IF(tblPenalties[[#This Row],[total_yards]]=0, "Declined", "Accepted")</f>
        <v>Accepted</v>
      </c>
    </row>
    <row r="623" spans="1:13" x14ac:dyDescent="0.25">
      <c r="A623" s="1" t="s">
        <v>36</v>
      </c>
      <c r="B623" s="1" t="s">
        <v>13</v>
      </c>
      <c r="C623" s="1" t="s">
        <v>122</v>
      </c>
      <c r="D623">
        <v>3</v>
      </c>
      <c r="E623">
        <v>23</v>
      </c>
      <c r="F623">
        <v>7.67</v>
      </c>
      <c r="J623" s="1" t="s">
        <v>113</v>
      </c>
      <c r="K623">
        <v>1</v>
      </c>
      <c r="L623">
        <v>0</v>
      </c>
      <c r="M623" t="str">
        <f>IF(tblPenalties[[#This Row],[total_yards]]=0, "Declined", "Accepted")</f>
        <v>Accepted</v>
      </c>
    </row>
    <row r="624" spans="1:13" x14ac:dyDescent="0.25">
      <c r="A624" s="1" t="s">
        <v>37</v>
      </c>
      <c r="B624" s="1" t="s">
        <v>17</v>
      </c>
      <c r="C624" s="1" t="s">
        <v>122</v>
      </c>
      <c r="D624">
        <v>5</v>
      </c>
      <c r="E624">
        <v>55</v>
      </c>
      <c r="F624">
        <v>11</v>
      </c>
      <c r="J624" s="1" t="s">
        <v>113</v>
      </c>
      <c r="K624">
        <v>1</v>
      </c>
      <c r="L624">
        <v>0</v>
      </c>
      <c r="M624" t="str">
        <f>IF(tblPenalties[[#This Row],[total_yards]]=0, "Declined", "Accepted")</f>
        <v>Accepted</v>
      </c>
    </row>
    <row r="625" spans="1:13" x14ac:dyDescent="0.25">
      <c r="A625" s="1" t="s">
        <v>38</v>
      </c>
      <c r="B625" s="1" t="s">
        <v>26</v>
      </c>
      <c r="C625" s="1" t="s">
        <v>122</v>
      </c>
      <c r="D625">
        <v>3</v>
      </c>
      <c r="E625">
        <v>21</v>
      </c>
      <c r="F625">
        <v>7</v>
      </c>
      <c r="J625" s="1" t="s">
        <v>113</v>
      </c>
      <c r="K625">
        <v>1</v>
      </c>
      <c r="L625">
        <v>0</v>
      </c>
      <c r="M625" t="str">
        <f>IF(tblPenalties[[#This Row],[total_yards]]=0, "Declined", "Accepted")</f>
        <v>Accepted</v>
      </c>
    </row>
    <row r="626" spans="1:13" x14ac:dyDescent="0.25">
      <c r="A626" s="1" t="s">
        <v>39</v>
      </c>
      <c r="B626" s="1" t="s">
        <v>40</v>
      </c>
      <c r="C626" s="1" t="s">
        <v>122</v>
      </c>
      <c r="D626">
        <v>4</v>
      </c>
      <c r="E626">
        <v>48</v>
      </c>
      <c r="F626">
        <v>12</v>
      </c>
      <c r="J626" s="1" t="s">
        <v>113</v>
      </c>
      <c r="K626">
        <v>1</v>
      </c>
      <c r="L626">
        <v>0</v>
      </c>
      <c r="M626" t="str">
        <f>IF(tblPenalties[[#This Row],[total_yards]]=0, "Declined", "Accepted")</f>
        <v>Accepted</v>
      </c>
    </row>
    <row r="627" spans="1:13" x14ac:dyDescent="0.25">
      <c r="A627" s="1" t="s">
        <v>137</v>
      </c>
      <c r="B627" s="1" t="s">
        <v>28</v>
      </c>
      <c r="C627" s="1" t="s">
        <v>122</v>
      </c>
      <c r="D627">
        <v>3</v>
      </c>
      <c r="E627">
        <v>17</v>
      </c>
      <c r="F627">
        <v>5.67</v>
      </c>
      <c r="J627" s="1" t="s">
        <v>113</v>
      </c>
      <c r="K627">
        <v>1</v>
      </c>
      <c r="L627">
        <v>0</v>
      </c>
      <c r="M627" t="str">
        <f>IF(tblPenalties[[#This Row],[total_yards]]=0, "Declined", "Accepted")</f>
        <v>Accepted</v>
      </c>
    </row>
    <row r="628" spans="1:13" x14ac:dyDescent="0.25">
      <c r="A628" s="1" t="s">
        <v>41</v>
      </c>
      <c r="B628" s="1" t="s">
        <v>21</v>
      </c>
      <c r="C628" s="1" t="s">
        <v>122</v>
      </c>
      <c r="D628">
        <v>1</v>
      </c>
      <c r="E628">
        <v>2</v>
      </c>
      <c r="F628">
        <v>2</v>
      </c>
      <c r="J628" s="1" t="s">
        <v>113</v>
      </c>
      <c r="K628">
        <v>1</v>
      </c>
      <c r="L628">
        <v>0</v>
      </c>
      <c r="M628" t="str">
        <f>IF(tblPenalties[[#This Row],[total_yards]]=0, "Declined", "Accepted")</f>
        <v>Accepted</v>
      </c>
    </row>
    <row r="629" spans="1:13" x14ac:dyDescent="0.25">
      <c r="A629" s="1" t="s">
        <v>43</v>
      </c>
      <c r="B629" s="1" t="s">
        <v>40</v>
      </c>
      <c r="C629" s="1" t="s">
        <v>122</v>
      </c>
      <c r="D629">
        <v>5</v>
      </c>
      <c r="E629">
        <v>121</v>
      </c>
      <c r="F629">
        <v>24.2</v>
      </c>
      <c r="J629" s="1" t="s">
        <v>113</v>
      </c>
      <c r="K629">
        <v>1</v>
      </c>
      <c r="L629">
        <v>0</v>
      </c>
      <c r="M629" t="str">
        <f>IF(tblPenalties[[#This Row],[total_yards]]=0, "Declined", "Accepted")</f>
        <v>Accepted</v>
      </c>
    </row>
    <row r="630" spans="1:13" x14ac:dyDescent="0.25">
      <c r="A630" s="1" t="s">
        <v>46</v>
      </c>
      <c r="B630" s="1" t="s">
        <v>26</v>
      </c>
      <c r="C630" s="1" t="s">
        <v>122</v>
      </c>
      <c r="D630">
        <v>3</v>
      </c>
      <c r="E630">
        <v>39</v>
      </c>
      <c r="F630">
        <v>13</v>
      </c>
      <c r="J630" s="1" t="s">
        <v>113</v>
      </c>
      <c r="K630">
        <v>1</v>
      </c>
      <c r="L630">
        <v>0</v>
      </c>
      <c r="M630" t="str">
        <f>IF(tblPenalties[[#This Row],[total_yards]]=0, "Declined", "Accepted")</f>
        <v>Accepted</v>
      </c>
    </row>
    <row r="631" spans="1:13" x14ac:dyDescent="0.25">
      <c r="A631" s="1" t="s">
        <v>47</v>
      </c>
      <c r="B631" s="1" t="s">
        <v>13</v>
      </c>
      <c r="C631" s="1" t="s">
        <v>122</v>
      </c>
      <c r="D631">
        <v>2</v>
      </c>
      <c r="E631">
        <v>22</v>
      </c>
      <c r="F631">
        <v>11</v>
      </c>
      <c r="J631" s="1" t="s">
        <v>113</v>
      </c>
      <c r="K631">
        <v>1</v>
      </c>
      <c r="L631">
        <v>0</v>
      </c>
      <c r="M631" t="str">
        <f>IF(tblPenalties[[#This Row],[total_yards]]=0, "Declined", "Accepted")</f>
        <v>Accepted</v>
      </c>
    </row>
    <row r="632" spans="1:13" x14ac:dyDescent="0.25">
      <c r="A632" s="1" t="s">
        <v>147</v>
      </c>
      <c r="B632" s="1" t="s">
        <v>13</v>
      </c>
      <c r="C632" s="1" t="s">
        <v>122</v>
      </c>
      <c r="D632">
        <v>3</v>
      </c>
      <c r="E632">
        <v>27</v>
      </c>
      <c r="F632">
        <v>9</v>
      </c>
      <c r="J632" s="1" t="s">
        <v>113</v>
      </c>
      <c r="K632">
        <v>1</v>
      </c>
      <c r="L632">
        <v>0</v>
      </c>
      <c r="M632" t="str">
        <f>IF(tblPenalties[[#This Row],[total_yards]]=0, "Declined", "Accepted")</f>
        <v>Accepted</v>
      </c>
    </row>
    <row r="633" spans="1:13" x14ac:dyDescent="0.25">
      <c r="A633" s="1" t="s">
        <v>48</v>
      </c>
      <c r="B633" s="1" t="s">
        <v>26</v>
      </c>
      <c r="C633" s="1" t="s">
        <v>122</v>
      </c>
      <c r="D633">
        <v>4</v>
      </c>
      <c r="E633">
        <v>49</v>
      </c>
      <c r="F633">
        <v>12.25</v>
      </c>
      <c r="J633" s="1" t="s">
        <v>113</v>
      </c>
      <c r="K633">
        <v>1</v>
      </c>
      <c r="L633">
        <v>0</v>
      </c>
      <c r="M633" t="str">
        <f>IF(tblPenalties[[#This Row],[total_yards]]=0, "Declined", "Accepted")</f>
        <v>Accepted</v>
      </c>
    </row>
    <row r="634" spans="1:13" x14ac:dyDescent="0.25">
      <c r="A634" s="1" t="s">
        <v>50</v>
      </c>
      <c r="B634" s="1" t="s">
        <v>17</v>
      </c>
      <c r="C634" s="1" t="s">
        <v>122</v>
      </c>
      <c r="D634">
        <v>7</v>
      </c>
      <c r="E634">
        <v>84</v>
      </c>
      <c r="F634">
        <v>12</v>
      </c>
      <c r="J634" s="1" t="s">
        <v>113</v>
      </c>
      <c r="K634">
        <v>1</v>
      </c>
      <c r="L634">
        <v>0</v>
      </c>
      <c r="M634" t="str">
        <f>IF(tblPenalties[[#This Row],[total_yards]]=0, "Declined", "Accepted")</f>
        <v>Accepted</v>
      </c>
    </row>
    <row r="635" spans="1:13" x14ac:dyDescent="0.25">
      <c r="A635" s="1" t="s">
        <v>53</v>
      </c>
      <c r="B635" s="1" t="s">
        <v>17</v>
      </c>
      <c r="C635" s="1" t="s">
        <v>122</v>
      </c>
      <c r="D635">
        <v>3</v>
      </c>
      <c r="E635">
        <v>29</v>
      </c>
      <c r="F635">
        <v>9.67</v>
      </c>
      <c r="J635" s="1" t="s">
        <v>113</v>
      </c>
      <c r="K635">
        <v>1</v>
      </c>
      <c r="L635">
        <v>0</v>
      </c>
      <c r="M635" t="str">
        <f>IF(tblPenalties[[#This Row],[total_yards]]=0, "Declined", "Accepted")</f>
        <v>Accepted</v>
      </c>
    </row>
    <row r="636" spans="1:13" x14ac:dyDescent="0.25">
      <c r="A636" s="1" t="s">
        <v>55</v>
      </c>
      <c r="B636" s="1" t="s">
        <v>40</v>
      </c>
      <c r="C636" s="1" t="s">
        <v>122</v>
      </c>
      <c r="D636">
        <v>4</v>
      </c>
      <c r="E636">
        <v>53</v>
      </c>
      <c r="F636">
        <v>13.25</v>
      </c>
      <c r="J636" s="1" t="s">
        <v>113</v>
      </c>
      <c r="K636">
        <v>1</v>
      </c>
      <c r="L636">
        <v>0</v>
      </c>
      <c r="M636" t="str">
        <f>IF(tblPenalties[[#This Row],[total_yards]]=0, "Declined", "Accepted")</f>
        <v>Accepted</v>
      </c>
    </row>
    <row r="637" spans="1:13" x14ac:dyDescent="0.25">
      <c r="A637" s="1" t="s">
        <v>138</v>
      </c>
      <c r="B637" s="1" t="s">
        <v>17</v>
      </c>
      <c r="C637" s="1" t="s">
        <v>122</v>
      </c>
      <c r="D637">
        <v>2</v>
      </c>
      <c r="E637">
        <v>18</v>
      </c>
      <c r="F637">
        <v>9</v>
      </c>
      <c r="J637" s="1" t="s">
        <v>113</v>
      </c>
      <c r="K637">
        <v>1</v>
      </c>
      <c r="L637">
        <v>0</v>
      </c>
      <c r="M637" t="str">
        <f>IF(tblPenalties[[#This Row],[total_yards]]=0, "Declined", "Accepted")</f>
        <v>Accepted</v>
      </c>
    </row>
    <row r="638" spans="1:13" x14ac:dyDescent="0.25">
      <c r="A638" s="1" t="s">
        <v>139</v>
      </c>
      <c r="B638" s="1" t="s">
        <v>17</v>
      </c>
      <c r="C638" s="1" t="s">
        <v>122</v>
      </c>
      <c r="D638">
        <v>5</v>
      </c>
      <c r="E638">
        <v>61</v>
      </c>
      <c r="F638">
        <v>12.2</v>
      </c>
      <c r="J638" s="1" t="s">
        <v>113</v>
      </c>
      <c r="K638">
        <v>1</v>
      </c>
      <c r="L638">
        <v>0</v>
      </c>
      <c r="M638" t="str">
        <f>IF(tblPenalties[[#This Row],[total_yards]]=0, "Declined", "Accepted")</f>
        <v>Accepted</v>
      </c>
    </row>
    <row r="639" spans="1:13" x14ac:dyDescent="0.25">
      <c r="A639" s="1" t="s">
        <v>116</v>
      </c>
      <c r="B639" s="1" t="s">
        <v>21</v>
      </c>
      <c r="C639" s="1" t="s">
        <v>122</v>
      </c>
      <c r="D639">
        <v>4</v>
      </c>
      <c r="E639">
        <v>34</v>
      </c>
      <c r="F639">
        <v>8.5</v>
      </c>
      <c r="J639" s="1" t="s">
        <v>113</v>
      </c>
      <c r="K639">
        <v>1</v>
      </c>
      <c r="L639">
        <v>0</v>
      </c>
      <c r="M639" t="str">
        <f>IF(tblPenalties[[#This Row],[total_yards]]=0, "Declined", "Accepted")</f>
        <v>Accepted</v>
      </c>
    </row>
    <row r="640" spans="1:13" x14ac:dyDescent="0.25">
      <c r="A640" s="1" t="s">
        <v>59</v>
      </c>
      <c r="B640" s="1" t="s">
        <v>40</v>
      </c>
      <c r="C640" s="1" t="s">
        <v>122</v>
      </c>
      <c r="D640">
        <v>5</v>
      </c>
      <c r="E640">
        <v>89</v>
      </c>
      <c r="F640">
        <v>17.8</v>
      </c>
      <c r="J640" s="1" t="s">
        <v>113</v>
      </c>
      <c r="K640">
        <v>1</v>
      </c>
      <c r="L640">
        <v>0</v>
      </c>
      <c r="M640" t="str">
        <f>IF(tblPenalties[[#This Row],[total_yards]]=0, "Declined", "Accepted")</f>
        <v>Accepted</v>
      </c>
    </row>
    <row r="641" spans="1:13" x14ac:dyDescent="0.25">
      <c r="A641" s="1" t="s">
        <v>61</v>
      </c>
      <c r="B641" s="1" t="s">
        <v>13</v>
      </c>
      <c r="C641" s="1" t="s">
        <v>122</v>
      </c>
      <c r="D641">
        <v>5</v>
      </c>
      <c r="E641">
        <v>39</v>
      </c>
      <c r="F641">
        <v>7.8</v>
      </c>
      <c r="J641" s="1" t="s">
        <v>113</v>
      </c>
      <c r="K641">
        <v>1</v>
      </c>
      <c r="L641">
        <v>0</v>
      </c>
      <c r="M641" t="str">
        <f>IF(tblPenalties[[#This Row],[total_yards]]=0, "Declined", "Accepted")</f>
        <v>Accepted</v>
      </c>
    </row>
    <row r="642" spans="1:13" x14ac:dyDescent="0.25">
      <c r="A642" s="1" t="s">
        <v>62</v>
      </c>
      <c r="B642" s="1" t="s">
        <v>40</v>
      </c>
      <c r="C642" s="1" t="s">
        <v>122</v>
      </c>
      <c r="D642">
        <v>6</v>
      </c>
      <c r="E642">
        <v>94</v>
      </c>
      <c r="F642">
        <v>15.67</v>
      </c>
      <c r="J642" s="1" t="s">
        <v>113</v>
      </c>
      <c r="K642">
        <v>1</v>
      </c>
      <c r="L642">
        <v>0</v>
      </c>
      <c r="M642" t="str">
        <f>IF(tblPenalties[[#This Row],[total_yards]]=0, "Declined", "Accepted")</f>
        <v>Accepted</v>
      </c>
    </row>
    <row r="643" spans="1:13" x14ac:dyDescent="0.25">
      <c r="A643" s="1" t="s">
        <v>63</v>
      </c>
      <c r="B643" s="1" t="s">
        <v>13</v>
      </c>
      <c r="C643" s="1" t="s">
        <v>122</v>
      </c>
      <c r="D643">
        <v>1</v>
      </c>
      <c r="E643">
        <v>7</v>
      </c>
      <c r="F643">
        <v>7</v>
      </c>
      <c r="J643" s="1" t="s">
        <v>113</v>
      </c>
      <c r="K643">
        <v>1</v>
      </c>
      <c r="L643">
        <v>0</v>
      </c>
      <c r="M643" t="str">
        <f>IF(tblPenalties[[#This Row],[total_yards]]=0, "Declined", "Accepted")</f>
        <v>Accepted</v>
      </c>
    </row>
    <row r="644" spans="1:13" x14ac:dyDescent="0.25">
      <c r="A644" s="1" t="s">
        <v>64</v>
      </c>
      <c r="B644" s="1" t="s">
        <v>52</v>
      </c>
      <c r="C644" s="1" t="s">
        <v>122</v>
      </c>
      <c r="D644">
        <v>2</v>
      </c>
      <c r="E644">
        <v>27</v>
      </c>
      <c r="F644">
        <v>13.5</v>
      </c>
      <c r="J644" s="1" t="s">
        <v>113</v>
      </c>
      <c r="K644">
        <v>1</v>
      </c>
      <c r="L644">
        <v>0</v>
      </c>
      <c r="M644" t="str">
        <f>IF(tblPenalties[[#This Row],[total_yards]]=0, "Declined", "Accepted")</f>
        <v>Accepted</v>
      </c>
    </row>
    <row r="645" spans="1:13" x14ac:dyDescent="0.25">
      <c r="A645" s="1" t="s">
        <v>65</v>
      </c>
      <c r="B645" s="1" t="s">
        <v>34</v>
      </c>
      <c r="C645" s="1" t="s">
        <v>122</v>
      </c>
      <c r="D645">
        <v>4</v>
      </c>
      <c r="E645">
        <v>45</v>
      </c>
      <c r="F645">
        <v>11.25</v>
      </c>
      <c r="J645" s="1" t="s">
        <v>113</v>
      </c>
      <c r="K645">
        <v>1</v>
      </c>
      <c r="L645">
        <v>0</v>
      </c>
      <c r="M645" t="str">
        <f>IF(tblPenalties[[#This Row],[total_yards]]=0, "Declined", "Accepted")</f>
        <v>Accepted</v>
      </c>
    </row>
    <row r="646" spans="1:13" x14ac:dyDescent="0.25">
      <c r="A646" s="1" t="s">
        <v>67</v>
      </c>
      <c r="B646" s="1" t="s">
        <v>52</v>
      </c>
      <c r="C646" s="1" t="s">
        <v>122</v>
      </c>
      <c r="D646">
        <v>2</v>
      </c>
      <c r="E646">
        <v>65</v>
      </c>
      <c r="F646">
        <v>32.5</v>
      </c>
      <c r="J646" s="1" t="s">
        <v>113</v>
      </c>
      <c r="K646">
        <v>1</v>
      </c>
      <c r="L646">
        <v>0</v>
      </c>
      <c r="M646" t="str">
        <f>IF(tblPenalties[[#This Row],[total_yards]]=0, "Declined", "Accepted")</f>
        <v>Accepted</v>
      </c>
    </row>
    <row r="647" spans="1:13" x14ac:dyDescent="0.25">
      <c r="A647" s="1" t="s">
        <v>119</v>
      </c>
      <c r="B647" s="1" t="s">
        <v>52</v>
      </c>
      <c r="C647" s="1" t="s">
        <v>122</v>
      </c>
      <c r="D647">
        <v>5</v>
      </c>
      <c r="E647">
        <v>49</v>
      </c>
      <c r="F647">
        <v>9.8000000000000007</v>
      </c>
      <c r="J647" s="1" t="s">
        <v>113</v>
      </c>
      <c r="K647">
        <v>1</v>
      </c>
      <c r="L647">
        <v>0</v>
      </c>
      <c r="M647" t="str">
        <f>IF(tblPenalties[[#This Row],[total_yards]]=0, "Declined", "Accepted")</f>
        <v>Accepted</v>
      </c>
    </row>
    <row r="648" spans="1:13" x14ac:dyDescent="0.25">
      <c r="A648" s="1" t="s">
        <v>70</v>
      </c>
      <c r="B648" s="1" t="s">
        <v>21</v>
      </c>
      <c r="C648" s="1" t="s">
        <v>122</v>
      </c>
      <c r="D648">
        <v>2</v>
      </c>
      <c r="E648">
        <v>21</v>
      </c>
      <c r="F648">
        <v>10.5</v>
      </c>
      <c r="J648" s="1" t="s">
        <v>113</v>
      </c>
      <c r="K648">
        <v>1</v>
      </c>
      <c r="L648">
        <v>0</v>
      </c>
      <c r="M648" t="str">
        <f>IF(tblPenalties[[#This Row],[total_yards]]=0, "Declined", "Accepted")</f>
        <v>Accepted</v>
      </c>
    </row>
    <row r="649" spans="1:13" x14ac:dyDescent="0.25">
      <c r="A649" s="1" t="s">
        <v>121</v>
      </c>
      <c r="B649" s="1" t="s">
        <v>28</v>
      </c>
      <c r="C649" s="1" t="s">
        <v>122</v>
      </c>
      <c r="D649">
        <v>2</v>
      </c>
      <c r="E649">
        <v>84</v>
      </c>
      <c r="F649">
        <v>42</v>
      </c>
      <c r="J649" s="1" t="s">
        <v>113</v>
      </c>
      <c r="K649">
        <v>1</v>
      </c>
      <c r="L649">
        <v>0</v>
      </c>
      <c r="M649" t="str">
        <f>IF(tblPenalties[[#This Row],[total_yards]]=0, "Declined", "Accepted")</f>
        <v>Accepted</v>
      </c>
    </row>
    <row r="650" spans="1:13" x14ac:dyDescent="0.25">
      <c r="A650" s="1" t="s">
        <v>73</v>
      </c>
      <c r="B650" s="1" t="s">
        <v>26</v>
      </c>
      <c r="C650" s="1" t="s">
        <v>122</v>
      </c>
      <c r="D650">
        <v>3</v>
      </c>
      <c r="E650">
        <v>25</v>
      </c>
      <c r="F650">
        <v>8.33</v>
      </c>
      <c r="J650" s="1" t="s">
        <v>113</v>
      </c>
      <c r="K650">
        <v>1</v>
      </c>
      <c r="L650">
        <v>0</v>
      </c>
      <c r="M650" t="str">
        <f>IF(tblPenalties[[#This Row],[total_yards]]=0, "Declined", "Accepted")</f>
        <v>Accepted</v>
      </c>
    </row>
    <row r="651" spans="1:13" x14ac:dyDescent="0.25">
      <c r="A651" s="1" t="s">
        <v>150</v>
      </c>
      <c r="B651" s="1" t="s">
        <v>28</v>
      </c>
      <c r="C651" s="1" t="s">
        <v>122</v>
      </c>
      <c r="D651">
        <v>1</v>
      </c>
      <c r="E651">
        <v>7</v>
      </c>
      <c r="F651">
        <v>7</v>
      </c>
      <c r="J651" s="1" t="s">
        <v>113</v>
      </c>
      <c r="K651">
        <v>1</v>
      </c>
      <c r="L651">
        <v>0</v>
      </c>
      <c r="M651" t="str">
        <f>IF(tblPenalties[[#This Row],[total_yards]]=0, "Declined", "Accepted")</f>
        <v>Accepted</v>
      </c>
    </row>
    <row r="652" spans="1:13" x14ac:dyDescent="0.25">
      <c r="A652" s="1" t="s">
        <v>140</v>
      </c>
      <c r="B652" s="1" t="s">
        <v>52</v>
      </c>
      <c r="C652" s="1" t="s">
        <v>122</v>
      </c>
      <c r="D652">
        <v>4</v>
      </c>
      <c r="E652">
        <v>53</v>
      </c>
      <c r="F652">
        <v>13.25</v>
      </c>
      <c r="J652" s="1" t="s">
        <v>113</v>
      </c>
      <c r="K652">
        <v>1</v>
      </c>
      <c r="L652">
        <v>0</v>
      </c>
      <c r="M652" t="str">
        <f>IF(tblPenalties[[#This Row],[total_yards]]=0, "Declined", "Accepted")</f>
        <v>Accepted</v>
      </c>
    </row>
    <row r="653" spans="1:13" x14ac:dyDescent="0.25">
      <c r="A653" s="1" t="s">
        <v>75</v>
      </c>
      <c r="B653" s="1" t="s">
        <v>13</v>
      </c>
      <c r="C653" s="1" t="s">
        <v>122</v>
      </c>
      <c r="D653">
        <v>3</v>
      </c>
      <c r="E653">
        <v>36</v>
      </c>
      <c r="F653">
        <v>12</v>
      </c>
      <c r="J653" s="1" t="s">
        <v>113</v>
      </c>
      <c r="K653">
        <v>1</v>
      </c>
      <c r="L653">
        <v>0</v>
      </c>
      <c r="M653" t="str">
        <f>IF(tblPenalties[[#This Row],[total_yards]]=0, "Declined", "Accepted")</f>
        <v>Accepted</v>
      </c>
    </row>
    <row r="654" spans="1:13" x14ac:dyDescent="0.25">
      <c r="A654" s="1" t="s">
        <v>76</v>
      </c>
      <c r="B654" s="1" t="s">
        <v>21</v>
      </c>
      <c r="C654" s="1" t="s">
        <v>122</v>
      </c>
      <c r="D654">
        <v>4</v>
      </c>
      <c r="E654">
        <v>55</v>
      </c>
      <c r="F654">
        <v>13.75</v>
      </c>
      <c r="J654" s="1" t="s">
        <v>113</v>
      </c>
      <c r="K654">
        <v>1</v>
      </c>
      <c r="L654">
        <v>0</v>
      </c>
      <c r="M654" t="str">
        <f>IF(tblPenalties[[#This Row],[total_yards]]=0, "Declined", "Accepted")</f>
        <v>Accepted</v>
      </c>
    </row>
    <row r="655" spans="1:13" x14ac:dyDescent="0.25">
      <c r="A655" s="1" t="s">
        <v>77</v>
      </c>
      <c r="B655" s="1" t="s">
        <v>17</v>
      </c>
      <c r="C655" s="1" t="s">
        <v>122</v>
      </c>
      <c r="D655">
        <v>2</v>
      </c>
      <c r="E655">
        <v>5</v>
      </c>
      <c r="F655">
        <v>2.5</v>
      </c>
      <c r="J655" s="1" t="s">
        <v>113</v>
      </c>
      <c r="K655">
        <v>1</v>
      </c>
      <c r="L655">
        <v>0</v>
      </c>
      <c r="M655" t="str">
        <f>IF(tblPenalties[[#This Row],[total_yards]]=0, "Declined", "Accepted")</f>
        <v>Accepted</v>
      </c>
    </row>
    <row r="656" spans="1:13" x14ac:dyDescent="0.25">
      <c r="A656" s="1" t="s">
        <v>78</v>
      </c>
      <c r="B656" s="1" t="s">
        <v>79</v>
      </c>
      <c r="C656" s="1" t="s">
        <v>122</v>
      </c>
      <c r="D656">
        <v>2</v>
      </c>
      <c r="E656">
        <v>19</v>
      </c>
      <c r="F656">
        <v>9.5</v>
      </c>
      <c r="J656" s="1" t="s">
        <v>113</v>
      </c>
      <c r="K656">
        <v>1</v>
      </c>
      <c r="L656">
        <v>0</v>
      </c>
      <c r="M656" t="str">
        <f>IF(tblPenalties[[#This Row],[total_yards]]=0, "Declined", "Accepted")</f>
        <v>Accepted</v>
      </c>
    </row>
    <row r="657" spans="1:13" x14ac:dyDescent="0.25">
      <c r="A657" s="1" t="s">
        <v>82</v>
      </c>
      <c r="B657" s="1" t="s">
        <v>34</v>
      </c>
      <c r="C657" s="1" t="s">
        <v>122</v>
      </c>
      <c r="D657">
        <v>2</v>
      </c>
      <c r="E657">
        <v>21</v>
      </c>
      <c r="F657">
        <v>10.5</v>
      </c>
      <c r="J657" s="1" t="s">
        <v>113</v>
      </c>
      <c r="K657">
        <v>1</v>
      </c>
      <c r="L657">
        <v>0</v>
      </c>
      <c r="M657" t="str">
        <f>IF(tblPenalties[[#This Row],[total_yards]]=0, "Declined", "Accepted")</f>
        <v>Accepted</v>
      </c>
    </row>
    <row r="658" spans="1:13" x14ac:dyDescent="0.25">
      <c r="A658" s="1" t="s">
        <v>85</v>
      </c>
      <c r="B658" s="1" t="s">
        <v>28</v>
      </c>
      <c r="C658" s="1" t="s">
        <v>122</v>
      </c>
      <c r="D658">
        <v>3</v>
      </c>
      <c r="E658">
        <v>18</v>
      </c>
      <c r="F658">
        <v>6</v>
      </c>
      <c r="J658" s="1" t="s">
        <v>113</v>
      </c>
      <c r="K658">
        <v>1</v>
      </c>
      <c r="L658">
        <v>0</v>
      </c>
      <c r="M658" t="str">
        <f>IF(tblPenalties[[#This Row],[total_yards]]=0, "Declined", "Accepted")</f>
        <v>Accepted</v>
      </c>
    </row>
    <row r="659" spans="1:13" x14ac:dyDescent="0.25">
      <c r="A659" s="1" t="s">
        <v>86</v>
      </c>
      <c r="B659" s="1" t="s">
        <v>40</v>
      </c>
      <c r="C659" s="1" t="s">
        <v>122</v>
      </c>
      <c r="D659">
        <v>3</v>
      </c>
      <c r="E659">
        <v>38</v>
      </c>
      <c r="F659">
        <v>12.67</v>
      </c>
      <c r="J659" s="1" t="s">
        <v>113</v>
      </c>
      <c r="K659">
        <v>1</v>
      </c>
      <c r="L659">
        <v>0</v>
      </c>
      <c r="M659" t="str">
        <f>IF(tblPenalties[[#This Row],[total_yards]]=0, "Declined", "Accepted")</f>
        <v>Accepted</v>
      </c>
    </row>
    <row r="660" spans="1:13" x14ac:dyDescent="0.25">
      <c r="A660" s="1" t="s">
        <v>89</v>
      </c>
      <c r="B660" s="1" t="s">
        <v>13</v>
      </c>
      <c r="C660" s="1" t="s">
        <v>122</v>
      </c>
      <c r="D660">
        <v>1</v>
      </c>
      <c r="E660">
        <v>2</v>
      </c>
      <c r="F660">
        <v>2</v>
      </c>
      <c r="J660" s="1" t="s">
        <v>113</v>
      </c>
      <c r="K660">
        <v>1</v>
      </c>
      <c r="L660">
        <v>0</v>
      </c>
      <c r="M660" t="str">
        <f>IF(tblPenalties[[#This Row],[total_yards]]=0, "Declined", "Accepted")</f>
        <v>Accepted</v>
      </c>
    </row>
    <row r="661" spans="1:13" x14ac:dyDescent="0.25">
      <c r="A661" s="1" t="s">
        <v>91</v>
      </c>
      <c r="B661" s="1" t="s">
        <v>17</v>
      </c>
      <c r="C661" s="1" t="s">
        <v>122</v>
      </c>
      <c r="D661">
        <v>3</v>
      </c>
      <c r="E661">
        <v>49</v>
      </c>
      <c r="F661">
        <v>16.329999999999998</v>
      </c>
      <c r="J661" s="1" t="s">
        <v>113</v>
      </c>
      <c r="K661">
        <v>1</v>
      </c>
      <c r="L661">
        <v>0</v>
      </c>
      <c r="M661" t="str">
        <f>IF(tblPenalties[[#This Row],[total_yards]]=0, "Declined", "Accepted")</f>
        <v>Accepted</v>
      </c>
    </row>
    <row r="662" spans="1:13" x14ac:dyDescent="0.25">
      <c r="A662" s="1" t="s">
        <v>131</v>
      </c>
      <c r="B662" s="1" t="s">
        <v>13</v>
      </c>
      <c r="C662" s="1" t="s">
        <v>122</v>
      </c>
      <c r="D662">
        <v>3</v>
      </c>
      <c r="E662">
        <v>36</v>
      </c>
      <c r="F662">
        <v>12</v>
      </c>
      <c r="J662" s="1" t="s">
        <v>113</v>
      </c>
      <c r="K662">
        <v>1</v>
      </c>
      <c r="L662">
        <v>0</v>
      </c>
      <c r="M662" t="str">
        <f>IF(tblPenalties[[#This Row],[total_yards]]=0, "Declined", "Accepted")</f>
        <v>Accepted</v>
      </c>
    </row>
    <row r="663" spans="1:13" x14ac:dyDescent="0.25">
      <c r="A663" s="1" t="s">
        <v>93</v>
      </c>
      <c r="B663" s="1" t="s">
        <v>21</v>
      </c>
      <c r="C663" s="1" t="s">
        <v>122</v>
      </c>
      <c r="D663">
        <v>1</v>
      </c>
      <c r="E663">
        <v>12</v>
      </c>
      <c r="F663">
        <v>12</v>
      </c>
      <c r="J663" s="1" t="s">
        <v>113</v>
      </c>
      <c r="K663">
        <v>1</v>
      </c>
      <c r="L663">
        <v>0</v>
      </c>
      <c r="M663" t="str">
        <f>IF(tblPenalties[[#This Row],[total_yards]]=0, "Declined", "Accepted")</f>
        <v>Accepted</v>
      </c>
    </row>
    <row r="664" spans="1:13" x14ac:dyDescent="0.25">
      <c r="A664" s="1" t="s">
        <v>95</v>
      </c>
      <c r="B664" s="1" t="s">
        <v>34</v>
      </c>
      <c r="C664" s="1" t="s">
        <v>122</v>
      </c>
      <c r="D664">
        <v>3</v>
      </c>
      <c r="E664">
        <v>14</v>
      </c>
      <c r="F664">
        <v>4.67</v>
      </c>
      <c r="J664" s="1" t="s">
        <v>113</v>
      </c>
      <c r="K664">
        <v>1</v>
      </c>
      <c r="L664">
        <v>0</v>
      </c>
      <c r="M664" t="str">
        <f>IF(tblPenalties[[#This Row],[total_yards]]=0, "Declined", "Accepted")</f>
        <v>Accepted</v>
      </c>
    </row>
    <row r="665" spans="1:13" x14ac:dyDescent="0.25">
      <c r="A665" s="1" t="s">
        <v>98</v>
      </c>
      <c r="B665" s="1" t="s">
        <v>17</v>
      </c>
      <c r="C665" s="1" t="s">
        <v>122</v>
      </c>
      <c r="D665">
        <v>2</v>
      </c>
      <c r="E665">
        <v>21</v>
      </c>
      <c r="F665">
        <v>10.5</v>
      </c>
      <c r="J665" s="1" t="s">
        <v>113</v>
      </c>
      <c r="K665">
        <v>1</v>
      </c>
      <c r="L665">
        <v>0</v>
      </c>
      <c r="M665" t="str">
        <f>IF(tblPenalties[[#This Row],[total_yards]]=0, "Declined", "Accepted")</f>
        <v>Accepted</v>
      </c>
    </row>
    <row r="666" spans="1:13" x14ac:dyDescent="0.25">
      <c r="A666" s="1" t="s">
        <v>151</v>
      </c>
      <c r="B666" s="1" t="s">
        <v>13</v>
      </c>
      <c r="C666" s="1" t="s">
        <v>122</v>
      </c>
      <c r="D666">
        <v>4</v>
      </c>
      <c r="E666">
        <v>45</v>
      </c>
      <c r="F666">
        <v>11.25</v>
      </c>
      <c r="J666" s="1" t="s">
        <v>113</v>
      </c>
      <c r="K666">
        <v>1</v>
      </c>
      <c r="L666">
        <v>0</v>
      </c>
      <c r="M666" t="str">
        <f>IF(tblPenalties[[#This Row],[total_yards]]=0, "Declined", "Accepted")</f>
        <v>Accepted</v>
      </c>
    </row>
    <row r="667" spans="1:13" x14ac:dyDescent="0.25">
      <c r="A667" s="1" t="s">
        <v>101</v>
      </c>
      <c r="B667" s="1" t="s">
        <v>21</v>
      </c>
      <c r="C667" s="1" t="s">
        <v>122</v>
      </c>
      <c r="D667">
        <v>4</v>
      </c>
      <c r="E667">
        <v>31</v>
      </c>
      <c r="F667">
        <v>7.75</v>
      </c>
      <c r="J667" s="1" t="s">
        <v>113</v>
      </c>
      <c r="K667">
        <v>1</v>
      </c>
      <c r="L667">
        <v>0</v>
      </c>
      <c r="M667" t="str">
        <f>IF(tblPenalties[[#This Row],[total_yards]]=0, "Declined", "Accepted")</f>
        <v>Accepted</v>
      </c>
    </row>
    <row r="668" spans="1:13" x14ac:dyDescent="0.25">
      <c r="A668" s="1" t="s">
        <v>102</v>
      </c>
      <c r="B668" s="1" t="s">
        <v>26</v>
      </c>
      <c r="C668" s="1" t="s">
        <v>122</v>
      </c>
      <c r="D668">
        <v>2</v>
      </c>
      <c r="E668">
        <v>9</v>
      </c>
      <c r="F668">
        <v>4.5</v>
      </c>
      <c r="J668" s="1" t="s">
        <v>113</v>
      </c>
      <c r="K668">
        <v>1</v>
      </c>
      <c r="L668">
        <v>0</v>
      </c>
      <c r="M668" t="str">
        <f>IF(tblPenalties[[#This Row],[total_yards]]=0, "Declined", "Accepted")</f>
        <v>Accepted</v>
      </c>
    </row>
    <row r="669" spans="1:13" x14ac:dyDescent="0.25">
      <c r="A669" s="1" t="s">
        <v>143</v>
      </c>
      <c r="B669" s="1" t="s">
        <v>40</v>
      </c>
      <c r="C669" s="1" t="s">
        <v>122</v>
      </c>
      <c r="D669">
        <v>1</v>
      </c>
      <c r="E669">
        <v>6</v>
      </c>
      <c r="F669">
        <v>6</v>
      </c>
      <c r="J669" s="1" t="s">
        <v>113</v>
      </c>
      <c r="K669">
        <v>1</v>
      </c>
      <c r="L669">
        <v>0</v>
      </c>
      <c r="M669" t="str">
        <f>IF(tblPenalties[[#This Row],[total_yards]]=0, "Declined", "Accepted")</f>
        <v>Accepted</v>
      </c>
    </row>
    <row r="670" spans="1:13" x14ac:dyDescent="0.25">
      <c r="A670" s="1" t="s">
        <v>104</v>
      </c>
      <c r="B670" s="1" t="s">
        <v>34</v>
      </c>
      <c r="C670" s="1" t="s">
        <v>122</v>
      </c>
      <c r="D670">
        <v>4</v>
      </c>
      <c r="E670">
        <v>46</v>
      </c>
      <c r="F670">
        <v>11.5</v>
      </c>
      <c r="J670" s="1" t="s">
        <v>113</v>
      </c>
      <c r="K670">
        <v>1</v>
      </c>
      <c r="L670">
        <v>0</v>
      </c>
      <c r="M670" t="str">
        <f>IF(tblPenalties[[#This Row],[total_yards]]=0, "Declined", "Accepted")</f>
        <v>Accepted</v>
      </c>
    </row>
    <row r="671" spans="1:13" x14ac:dyDescent="0.25">
      <c r="A671" s="1" t="s">
        <v>105</v>
      </c>
      <c r="B671" s="1" t="s">
        <v>26</v>
      </c>
      <c r="C671" s="1" t="s">
        <v>122</v>
      </c>
      <c r="D671">
        <v>5</v>
      </c>
      <c r="E671">
        <v>111</v>
      </c>
      <c r="F671">
        <v>22.2</v>
      </c>
      <c r="J671" s="1" t="s">
        <v>113</v>
      </c>
      <c r="K671">
        <v>1</v>
      </c>
      <c r="L671">
        <v>0</v>
      </c>
      <c r="M671" t="str">
        <f>IF(tblPenalties[[#This Row],[total_yards]]=0, "Declined", "Accepted")</f>
        <v>Accepted</v>
      </c>
    </row>
    <row r="672" spans="1:13" x14ac:dyDescent="0.25">
      <c r="A672" s="1" t="s">
        <v>106</v>
      </c>
      <c r="B672" s="1" t="s">
        <v>28</v>
      </c>
      <c r="C672" s="1" t="s">
        <v>122</v>
      </c>
      <c r="D672">
        <v>4</v>
      </c>
      <c r="E672">
        <v>45</v>
      </c>
      <c r="F672">
        <v>11.25</v>
      </c>
      <c r="J672" s="1" t="s">
        <v>113</v>
      </c>
      <c r="K672">
        <v>1</v>
      </c>
      <c r="L672">
        <v>0</v>
      </c>
      <c r="M672" t="str">
        <f>IF(tblPenalties[[#This Row],[total_yards]]=0, "Declined", "Accepted")</f>
        <v>Accepted</v>
      </c>
    </row>
    <row r="673" spans="1:13" x14ac:dyDescent="0.25">
      <c r="A673" s="1" t="s">
        <v>133</v>
      </c>
      <c r="B673" s="1" t="s">
        <v>52</v>
      </c>
      <c r="C673" s="1" t="s">
        <v>122</v>
      </c>
      <c r="D673">
        <v>2</v>
      </c>
      <c r="E673">
        <v>18</v>
      </c>
      <c r="F673">
        <v>9</v>
      </c>
      <c r="J673" s="1" t="s">
        <v>113</v>
      </c>
      <c r="K673">
        <v>1</v>
      </c>
      <c r="L673">
        <v>0</v>
      </c>
      <c r="M673" t="str">
        <f>IF(tblPenalties[[#This Row],[total_yards]]=0, "Declined", "Accepted")</f>
        <v>Accepted</v>
      </c>
    </row>
    <row r="674" spans="1:13" x14ac:dyDescent="0.25">
      <c r="A674" s="1" t="s">
        <v>109</v>
      </c>
      <c r="B674" s="1" t="s">
        <v>79</v>
      </c>
      <c r="C674" s="1" t="s">
        <v>122</v>
      </c>
      <c r="D674">
        <v>3</v>
      </c>
      <c r="E674">
        <v>21</v>
      </c>
      <c r="F674">
        <v>7</v>
      </c>
      <c r="J674" s="1" t="s">
        <v>113</v>
      </c>
      <c r="K674">
        <v>1</v>
      </c>
      <c r="L674">
        <v>0</v>
      </c>
      <c r="M674" t="str">
        <f>IF(tblPenalties[[#This Row],[total_yards]]=0, "Declined", "Accepted")</f>
        <v>Accepted</v>
      </c>
    </row>
    <row r="675" spans="1:13" x14ac:dyDescent="0.25">
      <c r="A675" s="1" t="s">
        <v>110</v>
      </c>
      <c r="B675" s="1" t="s">
        <v>17</v>
      </c>
      <c r="C675" s="1" t="s">
        <v>122</v>
      </c>
      <c r="D675">
        <v>3</v>
      </c>
      <c r="E675">
        <v>59</v>
      </c>
      <c r="F675">
        <v>19.670000000000002</v>
      </c>
      <c r="J675" s="1" t="s">
        <v>113</v>
      </c>
      <c r="K675">
        <v>1</v>
      </c>
      <c r="L675">
        <v>0</v>
      </c>
      <c r="M675" t="str">
        <f>IF(tblPenalties[[#This Row],[total_yards]]=0, "Declined", "Accepted")</f>
        <v>Accepted</v>
      </c>
    </row>
    <row r="676" spans="1:13" x14ac:dyDescent="0.25">
      <c r="A676" s="1" t="s">
        <v>144</v>
      </c>
      <c r="B676" s="1" t="s">
        <v>26</v>
      </c>
      <c r="C676" s="1" t="s">
        <v>122</v>
      </c>
      <c r="D676">
        <v>5</v>
      </c>
      <c r="E676">
        <v>39</v>
      </c>
      <c r="F676">
        <v>7.8</v>
      </c>
      <c r="J676" s="1" t="s">
        <v>113</v>
      </c>
      <c r="K676">
        <v>1</v>
      </c>
      <c r="L676">
        <v>0</v>
      </c>
      <c r="M676" t="str">
        <f>IF(tblPenalties[[#This Row],[total_yards]]=0, "Declined", "Accepted")</f>
        <v>Accepted</v>
      </c>
    </row>
    <row r="677" spans="1:13" x14ac:dyDescent="0.25">
      <c r="A677" s="1" t="s">
        <v>134</v>
      </c>
      <c r="B677" s="1" t="s">
        <v>26</v>
      </c>
      <c r="C677" s="1" t="s">
        <v>128</v>
      </c>
      <c r="D677">
        <v>2</v>
      </c>
      <c r="E677">
        <v>28</v>
      </c>
      <c r="F677">
        <v>14</v>
      </c>
      <c r="J677" s="1" t="s">
        <v>115</v>
      </c>
      <c r="K677">
        <v>1</v>
      </c>
      <c r="L677">
        <v>0</v>
      </c>
      <c r="M677" t="str">
        <f>IF(tblPenalties[[#This Row],[total_yards]]=0, "Declined", "Accepted")</f>
        <v>Accepted</v>
      </c>
    </row>
    <row r="678" spans="1:13" x14ac:dyDescent="0.25">
      <c r="A678" s="1" t="s">
        <v>145</v>
      </c>
      <c r="B678" s="1" t="s">
        <v>21</v>
      </c>
      <c r="C678" s="1" t="s">
        <v>114</v>
      </c>
      <c r="D678">
        <v>2</v>
      </c>
      <c r="E678">
        <v>15</v>
      </c>
      <c r="F678">
        <v>7.5</v>
      </c>
      <c r="J678" s="1" t="s">
        <v>115</v>
      </c>
      <c r="K678">
        <v>1</v>
      </c>
      <c r="L678">
        <v>0</v>
      </c>
      <c r="M678" t="str">
        <f>IF(tblPenalties[[#This Row],[total_yards]]=0, "Declined", "Accepted")</f>
        <v>Accepted</v>
      </c>
    </row>
    <row r="679" spans="1:13" x14ac:dyDescent="0.25">
      <c r="A679" s="1" t="s">
        <v>12</v>
      </c>
      <c r="B679" s="1" t="s">
        <v>13</v>
      </c>
      <c r="C679" s="1" t="s">
        <v>128</v>
      </c>
      <c r="D679">
        <v>4</v>
      </c>
      <c r="E679">
        <v>30</v>
      </c>
      <c r="F679">
        <v>7.5</v>
      </c>
      <c r="J679" s="1" t="s">
        <v>115</v>
      </c>
      <c r="K679">
        <v>1</v>
      </c>
      <c r="L679">
        <v>0</v>
      </c>
      <c r="M679" t="str">
        <f>IF(tblPenalties[[#This Row],[total_yards]]=0, "Declined", "Accepted")</f>
        <v>Accepted</v>
      </c>
    </row>
    <row r="680" spans="1:13" x14ac:dyDescent="0.25">
      <c r="A680" s="1" t="s">
        <v>12</v>
      </c>
      <c r="B680" s="1" t="s">
        <v>13</v>
      </c>
      <c r="C680" s="1" t="s">
        <v>114</v>
      </c>
      <c r="D680">
        <v>3</v>
      </c>
      <c r="E680">
        <v>39</v>
      </c>
      <c r="F680">
        <v>13</v>
      </c>
      <c r="J680" s="1" t="s">
        <v>115</v>
      </c>
      <c r="K680">
        <v>1</v>
      </c>
      <c r="L680">
        <v>0</v>
      </c>
      <c r="M680" t="str">
        <f>IF(tblPenalties[[#This Row],[total_yards]]=0, "Declined", "Accepted")</f>
        <v>Accepted</v>
      </c>
    </row>
    <row r="681" spans="1:13" x14ac:dyDescent="0.25">
      <c r="A681" s="1" t="s">
        <v>16</v>
      </c>
      <c r="B681" s="1" t="s">
        <v>17</v>
      </c>
      <c r="C681" s="1" t="s">
        <v>120</v>
      </c>
      <c r="D681">
        <v>2</v>
      </c>
      <c r="E681">
        <v>15</v>
      </c>
      <c r="F681">
        <v>7.5</v>
      </c>
      <c r="J681" s="1" t="s">
        <v>115</v>
      </c>
      <c r="K681">
        <v>1</v>
      </c>
      <c r="L681">
        <v>0</v>
      </c>
      <c r="M681" t="str">
        <f>IF(tblPenalties[[#This Row],[total_yards]]=0, "Declined", "Accepted")</f>
        <v>Accepted</v>
      </c>
    </row>
    <row r="682" spans="1:13" x14ac:dyDescent="0.25">
      <c r="A682" s="1" t="s">
        <v>135</v>
      </c>
      <c r="B682" s="1" t="s">
        <v>17</v>
      </c>
      <c r="C682" s="1" t="s">
        <v>128</v>
      </c>
      <c r="D682">
        <v>2</v>
      </c>
      <c r="E682">
        <v>3</v>
      </c>
      <c r="F682">
        <v>1.5</v>
      </c>
      <c r="J682" s="1" t="s">
        <v>115</v>
      </c>
      <c r="K682">
        <v>1</v>
      </c>
      <c r="L682">
        <v>0</v>
      </c>
      <c r="M682" t="str">
        <f>IF(tblPenalties[[#This Row],[total_yards]]=0, "Declined", "Accepted")</f>
        <v>Accepted</v>
      </c>
    </row>
    <row r="683" spans="1:13" x14ac:dyDescent="0.25">
      <c r="A683" s="1" t="s">
        <v>135</v>
      </c>
      <c r="B683" s="1" t="s">
        <v>17</v>
      </c>
      <c r="C683" s="1" t="s">
        <v>114</v>
      </c>
      <c r="D683">
        <v>1</v>
      </c>
      <c r="E683">
        <v>9</v>
      </c>
      <c r="F683">
        <v>9</v>
      </c>
      <c r="J683" s="1" t="s">
        <v>115</v>
      </c>
      <c r="K683">
        <v>1</v>
      </c>
      <c r="L683">
        <v>0</v>
      </c>
      <c r="M683" t="str">
        <f>IF(tblPenalties[[#This Row],[total_yards]]=0, "Declined", "Accepted")</f>
        <v>Accepted</v>
      </c>
    </row>
    <row r="684" spans="1:13" x14ac:dyDescent="0.25">
      <c r="A684" s="1" t="s">
        <v>126</v>
      </c>
      <c r="B684" s="1" t="s">
        <v>19</v>
      </c>
      <c r="C684" s="1" t="s">
        <v>128</v>
      </c>
      <c r="D684">
        <v>2</v>
      </c>
      <c r="E684">
        <v>15</v>
      </c>
      <c r="F684">
        <v>7.5</v>
      </c>
      <c r="J684" s="1" t="s">
        <v>115</v>
      </c>
      <c r="K684">
        <v>1</v>
      </c>
      <c r="L684">
        <v>0</v>
      </c>
      <c r="M684" t="str">
        <f>IF(tblPenalties[[#This Row],[total_yards]]=0, "Declined", "Accepted")</f>
        <v>Accepted</v>
      </c>
    </row>
    <row r="685" spans="1:13" x14ac:dyDescent="0.25">
      <c r="A685" s="1" t="s">
        <v>20</v>
      </c>
      <c r="B685" s="1" t="s">
        <v>21</v>
      </c>
      <c r="C685" s="1" t="s">
        <v>114</v>
      </c>
      <c r="D685">
        <v>3</v>
      </c>
      <c r="E685">
        <v>36</v>
      </c>
      <c r="F685">
        <v>12</v>
      </c>
      <c r="J685" s="1" t="s">
        <v>115</v>
      </c>
      <c r="K685">
        <v>1</v>
      </c>
      <c r="L685">
        <v>0</v>
      </c>
      <c r="M685" t="str">
        <f>IF(tblPenalties[[#This Row],[total_yards]]=0, "Declined", "Accepted")</f>
        <v>Accepted</v>
      </c>
    </row>
    <row r="686" spans="1:13" x14ac:dyDescent="0.25">
      <c r="A686" s="1" t="s">
        <v>25</v>
      </c>
      <c r="B686" s="1" t="s">
        <v>26</v>
      </c>
      <c r="C686" s="1" t="s">
        <v>125</v>
      </c>
      <c r="D686">
        <v>1</v>
      </c>
      <c r="E686">
        <v>11</v>
      </c>
      <c r="F686">
        <v>11</v>
      </c>
      <c r="J686" s="1" t="s">
        <v>115</v>
      </c>
      <c r="K686">
        <v>1</v>
      </c>
      <c r="L686">
        <v>0</v>
      </c>
      <c r="M686" t="str">
        <f>IF(tblPenalties[[#This Row],[total_yards]]=0, "Declined", "Accepted")</f>
        <v>Accepted</v>
      </c>
    </row>
    <row r="687" spans="1:13" x14ac:dyDescent="0.25">
      <c r="A687" s="1" t="s">
        <v>27</v>
      </c>
      <c r="B687" s="1" t="s">
        <v>28</v>
      </c>
      <c r="C687" s="1" t="s">
        <v>114</v>
      </c>
      <c r="D687">
        <v>5</v>
      </c>
      <c r="E687">
        <v>21</v>
      </c>
      <c r="F687">
        <v>4.2</v>
      </c>
      <c r="J687" s="1" t="s">
        <v>115</v>
      </c>
      <c r="K687">
        <v>1</v>
      </c>
      <c r="L687">
        <v>0</v>
      </c>
      <c r="M687" t="str">
        <f>IF(tblPenalties[[#This Row],[total_yards]]=0, "Declined", "Accepted")</f>
        <v>Accepted</v>
      </c>
    </row>
    <row r="688" spans="1:13" x14ac:dyDescent="0.25">
      <c r="A688" s="1" t="s">
        <v>27</v>
      </c>
      <c r="B688" s="1" t="s">
        <v>28</v>
      </c>
      <c r="C688" s="1" t="s">
        <v>120</v>
      </c>
      <c r="D688">
        <v>3</v>
      </c>
      <c r="E688">
        <v>44</v>
      </c>
      <c r="F688">
        <v>14.67</v>
      </c>
      <c r="J688" s="1" t="s">
        <v>115</v>
      </c>
      <c r="K688">
        <v>1</v>
      </c>
      <c r="L688">
        <v>0</v>
      </c>
      <c r="M688" t="str">
        <f>IF(tblPenalties[[#This Row],[total_yards]]=0, "Declined", "Accepted")</f>
        <v>Accepted</v>
      </c>
    </row>
    <row r="689" spans="1:13" x14ac:dyDescent="0.25">
      <c r="A689" s="1" t="s">
        <v>27</v>
      </c>
      <c r="B689" s="1" t="s">
        <v>28</v>
      </c>
      <c r="C689" s="1" t="s">
        <v>128</v>
      </c>
      <c r="D689">
        <v>1</v>
      </c>
      <c r="E689">
        <v>25</v>
      </c>
      <c r="F689">
        <v>25</v>
      </c>
      <c r="J689" s="1" t="s">
        <v>115</v>
      </c>
      <c r="K689">
        <v>1</v>
      </c>
      <c r="L689">
        <v>0</v>
      </c>
      <c r="M689" t="str">
        <f>IF(tblPenalties[[#This Row],[total_yards]]=0, "Declined", "Accepted")</f>
        <v>Accepted</v>
      </c>
    </row>
    <row r="690" spans="1:13" x14ac:dyDescent="0.25">
      <c r="A690" s="1" t="s">
        <v>136</v>
      </c>
      <c r="B690" s="1" t="s">
        <v>21</v>
      </c>
      <c r="C690" s="1" t="s">
        <v>114</v>
      </c>
      <c r="D690">
        <v>4</v>
      </c>
      <c r="E690">
        <v>19</v>
      </c>
      <c r="F690">
        <v>4.75</v>
      </c>
      <c r="J690" s="1" t="s">
        <v>115</v>
      </c>
      <c r="K690">
        <v>1</v>
      </c>
      <c r="L690">
        <v>0</v>
      </c>
      <c r="M690" t="str">
        <f>IF(tblPenalties[[#This Row],[total_yards]]=0, "Declined", "Accepted")</f>
        <v>Accepted</v>
      </c>
    </row>
    <row r="691" spans="1:13" x14ac:dyDescent="0.25">
      <c r="A691" s="1" t="s">
        <v>136</v>
      </c>
      <c r="B691" s="1" t="s">
        <v>21</v>
      </c>
      <c r="C691" s="1" t="s">
        <v>128</v>
      </c>
      <c r="D691">
        <v>1</v>
      </c>
      <c r="E691">
        <v>6</v>
      </c>
      <c r="F691">
        <v>6</v>
      </c>
      <c r="J691" s="1" t="s">
        <v>115</v>
      </c>
      <c r="K691">
        <v>1</v>
      </c>
      <c r="L691">
        <v>0</v>
      </c>
      <c r="M691" t="str">
        <f>IF(tblPenalties[[#This Row],[total_yards]]=0, "Declined", "Accepted")</f>
        <v>Accepted</v>
      </c>
    </row>
    <row r="692" spans="1:13" x14ac:dyDescent="0.25">
      <c r="A692" s="1" t="s">
        <v>136</v>
      </c>
      <c r="B692" s="1" t="s">
        <v>21</v>
      </c>
      <c r="C692" s="1" t="s">
        <v>120</v>
      </c>
      <c r="D692">
        <v>1</v>
      </c>
      <c r="E692">
        <v>2</v>
      </c>
      <c r="F692">
        <v>2</v>
      </c>
      <c r="J692" s="1" t="s">
        <v>115</v>
      </c>
      <c r="K692">
        <v>1</v>
      </c>
      <c r="L692">
        <v>0</v>
      </c>
      <c r="M692" t="str">
        <f>IF(tblPenalties[[#This Row],[total_yards]]=0, "Declined", "Accepted")</f>
        <v>Accepted</v>
      </c>
    </row>
    <row r="693" spans="1:13" x14ac:dyDescent="0.25">
      <c r="A693" s="1" t="s">
        <v>32</v>
      </c>
      <c r="B693" s="1" t="s">
        <v>28</v>
      </c>
      <c r="C693" s="1" t="s">
        <v>120</v>
      </c>
      <c r="D693">
        <v>2</v>
      </c>
      <c r="E693">
        <v>35</v>
      </c>
      <c r="F693">
        <v>17.5</v>
      </c>
      <c r="J693" s="1" t="s">
        <v>115</v>
      </c>
      <c r="K693">
        <v>1</v>
      </c>
      <c r="L693">
        <v>0</v>
      </c>
      <c r="M693" t="str">
        <f>IF(tblPenalties[[#This Row],[total_yards]]=0, "Declined", "Accepted")</f>
        <v>Accepted</v>
      </c>
    </row>
    <row r="694" spans="1:13" x14ac:dyDescent="0.25">
      <c r="A694" s="1" t="s">
        <v>32</v>
      </c>
      <c r="B694" s="1" t="s">
        <v>28</v>
      </c>
      <c r="C694" s="1" t="s">
        <v>128</v>
      </c>
      <c r="D694">
        <v>1</v>
      </c>
      <c r="E694">
        <v>8</v>
      </c>
      <c r="F694">
        <v>8</v>
      </c>
      <c r="J694" s="1" t="s">
        <v>115</v>
      </c>
      <c r="K694">
        <v>1</v>
      </c>
      <c r="L694">
        <v>0</v>
      </c>
      <c r="M694" t="str">
        <f>IF(tblPenalties[[#This Row],[total_yards]]=0, "Declined", "Accepted")</f>
        <v>Accepted</v>
      </c>
    </row>
    <row r="695" spans="1:13" x14ac:dyDescent="0.25">
      <c r="A695" s="1" t="s">
        <v>36</v>
      </c>
      <c r="B695" s="1" t="s">
        <v>13</v>
      </c>
      <c r="C695" s="1" t="s">
        <v>128</v>
      </c>
      <c r="D695">
        <v>2</v>
      </c>
      <c r="E695">
        <v>15</v>
      </c>
      <c r="F695">
        <v>7.5</v>
      </c>
      <c r="J695" s="1" t="s">
        <v>115</v>
      </c>
      <c r="K695">
        <v>1</v>
      </c>
      <c r="L695">
        <v>0</v>
      </c>
      <c r="M695" t="str">
        <f>IF(tblPenalties[[#This Row],[total_yards]]=0, "Declined", "Accepted")</f>
        <v>Accepted</v>
      </c>
    </row>
    <row r="696" spans="1:13" x14ac:dyDescent="0.25">
      <c r="A696" s="1" t="s">
        <v>37</v>
      </c>
      <c r="B696" s="1" t="s">
        <v>17</v>
      </c>
      <c r="C696" s="1" t="s">
        <v>114</v>
      </c>
      <c r="D696">
        <v>3</v>
      </c>
      <c r="E696">
        <v>25</v>
      </c>
      <c r="F696">
        <v>8.33</v>
      </c>
      <c r="J696" s="1" t="s">
        <v>115</v>
      </c>
      <c r="K696">
        <v>1</v>
      </c>
      <c r="L696">
        <v>0</v>
      </c>
      <c r="M696" t="str">
        <f>IF(tblPenalties[[#This Row],[total_yards]]=0, "Declined", "Accepted")</f>
        <v>Accepted</v>
      </c>
    </row>
    <row r="697" spans="1:13" x14ac:dyDescent="0.25">
      <c r="A697" s="1" t="s">
        <v>39</v>
      </c>
      <c r="B697" s="1" t="s">
        <v>40</v>
      </c>
      <c r="C697" s="1" t="s">
        <v>114</v>
      </c>
      <c r="D697">
        <v>3</v>
      </c>
      <c r="E697">
        <v>30</v>
      </c>
      <c r="F697">
        <v>10</v>
      </c>
      <c r="J697" s="1" t="s">
        <v>115</v>
      </c>
      <c r="K697">
        <v>1</v>
      </c>
      <c r="L697">
        <v>0</v>
      </c>
      <c r="M697" t="str">
        <f>IF(tblPenalties[[#This Row],[total_yards]]=0, "Declined", "Accepted")</f>
        <v>Accepted</v>
      </c>
    </row>
    <row r="698" spans="1:13" x14ac:dyDescent="0.25">
      <c r="A698" s="1" t="s">
        <v>137</v>
      </c>
      <c r="B698" s="1" t="s">
        <v>28</v>
      </c>
      <c r="C698" s="1" t="s">
        <v>125</v>
      </c>
      <c r="D698">
        <v>1</v>
      </c>
      <c r="E698">
        <v>6</v>
      </c>
      <c r="F698">
        <v>6</v>
      </c>
      <c r="J698" s="1" t="s">
        <v>115</v>
      </c>
      <c r="K698">
        <v>1</v>
      </c>
      <c r="L698">
        <v>0</v>
      </c>
      <c r="M698" t="str">
        <f>IF(tblPenalties[[#This Row],[total_yards]]=0, "Declined", "Accepted")</f>
        <v>Accepted</v>
      </c>
    </row>
    <row r="699" spans="1:13" x14ac:dyDescent="0.25">
      <c r="A699" s="1" t="s">
        <v>137</v>
      </c>
      <c r="B699" s="1" t="s">
        <v>28</v>
      </c>
      <c r="C699" s="1" t="s">
        <v>114</v>
      </c>
      <c r="D699">
        <v>1</v>
      </c>
      <c r="E699">
        <v>10</v>
      </c>
      <c r="F699">
        <v>10</v>
      </c>
      <c r="J699" s="1" t="s">
        <v>115</v>
      </c>
      <c r="K699">
        <v>1</v>
      </c>
      <c r="L699">
        <v>0</v>
      </c>
      <c r="M699" t="str">
        <f>IF(tblPenalties[[#This Row],[total_yards]]=0, "Declined", "Accepted")</f>
        <v>Accepted</v>
      </c>
    </row>
    <row r="700" spans="1:13" x14ac:dyDescent="0.25">
      <c r="A700" s="1" t="s">
        <v>41</v>
      </c>
      <c r="B700" s="1" t="s">
        <v>21</v>
      </c>
      <c r="C700" s="1" t="s">
        <v>114</v>
      </c>
      <c r="D700">
        <v>3</v>
      </c>
      <c r="E700">
        <v>26</v>
      </c>
      <c r="F700">
        <v>8.67</v>
      </c>
      <c r="J700" s="1" t="s">
        <v>115</v>
      </c>
      <c r="K700">
        <v>1</v>
      </c>
      <c r="L700">
        <v>0</v>
      </c>
      <c r="M700" t="str">
        <f>IF(tblPenalties[[#This Row],[total_yards]]=0, "Declined", "Accepted")</f>
        <v>Accepted</v>
      </c>
    </row>
    <row r="701" spans="1:13" x14ac:dyDescent="0.25">
      <c r="A701" s="1" t="s">
        <v>127</v>
      </c>
      <c r="B701" s="1" t="s">
        <v>34</v>
      </c>
      <c r="C701" s="1" t="s">
        <v>114</v>
      </c>
      <c r="D701">
        <v>2</v>
      </c>
      <c r="E701">
        <v>1</v>
      </c>
      <c r="F701">
        <v>0.5</v>
      </c>
      <c r="J701" s="1" t="s">
        <v>115</v>
      </c>
      <c r="K701">
        <v>1</v>
      </c>
      <c r="L701">
        <v>0</v>
      </c>
      <c r="M701" t="str">
        <f>IF(tblPenalties[[#This Row],[total_yards]]=0, "Declined", "Accepted")</f>
        <v>Accepted</v>
      </c>
    </row>
    <row r="702" spans="1:13" x14ac:dyDescent="0.25">
      <c r="A702" s="1" t="s">
        <v>127</v>
      </c>
      <c r="B702" s="1" t="s">
        <v>34</v>
      </c>
      <c r="C702" s="1" t="s">
        <v>128</v>
      </c>
      <c r="D702">
        <v>1</v>
      </c>
      <c r="E702">
        <v>50</v>
      </c>
      <c r="F702">
        <v>50</v>
      </c>
      <c r="J702" s="1" t="s">
        <v>115</v>
      </c>
      <c r="K702">
        <v>1</v>
      </c>
      <c r="L702">
        <v>0</v>
      </c>
      <c r="M702" t="str">
        <f>IF(tblPenalties[[#This Row],[total_yards]]=0, "Declined", "Accepted")</f>
        <v>Accepted</v>
      </c>
    </row>
    <row r="703" spans="1:13" x14ac:dyDescent="0.25">
      <c r="A703" s="1" t="s">
        <v>43</v>
      </c>
      <c r="B703" s="1" t="s">
        <v>40</v>
      </c>
      <c r="C703" s="1" t="s">
        <v>114</v>
      </c>
      <c r="D703">
        <v>3</v>
      </c>
      <c r="E703">
        <v>44</v>
      </c>
      <c r="F703">
        <v>14.67</v>
      </c>
      <c r="J703" s="1" t="s">
        <v>115</v>
      </c>
      <c r="K703">
        <v>1</v>
      </c>
      <c r="L703">
        <v>0</v>
      </c>
      <c r="M703" t="str">
        <f>IF(tblPenalties[[#This Row],[total_yards]]=0, "Declined", "Accepted")</f>
        <v>Accepted</v>
      </c>
    </row>
    <row r="704" spans="1:13" x14ac:dyDescent="0.25">
      <c r="A704" s="1" t="s">
        <v>44</v>
      </c>
      <c r="B704" s="1" t="s">
        <v>19</v>
      </c>
      <c r="C704" s="1" t="s">
        <v>120</v>
      </c>
      <c r="D704">
        <v>2</v>
      </c>
      <c r="E704">
        <v>7</v>
      </c>
      <c r="F704">
        <v>3.5</v>
      </c>
      <c r="J704" s="1" t="s">
        <v>115</v>
      </c>
      <c r="K704">
        <v>1</v>
      </c>
      <c r="L704">
        <v>0</v>
      </c>
      <c r="M704" t="str">
        <f>IF(tblPenalties[[#This Row],[total_yards]]=0, "Declined", "Accepted")</f>
        <v>Accepted</v>
      </c>
    </row>
    <row r="705" spans="1:13" x14ac:dyDescent="0.25">
      <c r="A705" s="1" t="s">
        <v>44</v>
      </c>
      <c r="B705" s="1" t="s">
        <v>19</v>
      </c>
      <c r="C705" s="1" t="s">
        <v>114</v>
      </c>
      <c r="D705">
        <v>2</v>
      </c>
      <c r="E705">
        <v>57</v>
      </c>
      <c r="F705">
        <v>28.5</v>
      </c>
      <c r="J705" s="1" t="s">
        <v>115</v>
      </c>
      <c r="K705">
        <v>1</v>
      </c>
      <c r="L705">
        <v>0</v>
      </c>
      <c r="M705" t="str">
        <f>IF(tblPenalties[[#This Row],[total_yards]]=0, "Declined", "Accepted")</f>
        <v>Accepted</v>
      </c>
    </row>
    <row r="706" spans="1:13" x14ac:dyDescent="0.25">
      <c r="A706" s="1" t="s">
        <v>46</v>
      </c>
      <c r="B706" s="1" t="s">
        <v>26</v>
      </c>
      <c r="C706" s="1" t="s">
        <v>114</v>
      </c>
      <c r="D706">
        <v>5</v>
      </c>
      <c r="E706">
        <v>50</v>
      </c>
      <c r="F706">
        <v>10</v>
      </c>
      <c r="J706" s="1" t="s">
        <v>115</v>
      </c>
      <c r="K706">
        <v>1</v>
      </c>
      <c r="L706">
        <v>0</v>
      </c>
      <c r="M706" t="str">
        <f>IF(tblPenalties[[#This Row],[total_yards]]=0, "Declined", "Accepted")</f>
        <v>Accepted</v>
      </c>
    </row>
    <row r="707" spans="1:13" x14ac:dyDescent="0.25">
      <c r="A707" s="1" t="s">
        <v>46</v>
      </c>
      <c r="B707" s="1" t="s">
        <v>26</v>
      </c>
      <c r="C707" s="1" t="s">
        <v>128</v>
      </c>
      <c r="D707">
        <v>3</v>
      </c>
      <c r="E707">
        <v>30</v>
      </c>
      <c r="F707">
        <v>10</v>
      </c>
      <c r="J707" s="1" t="s">
        <v>115</v>
      </c>
      <c r="K707">
        <v>1</v>
      </c>
      <c r="L707">
        <v>0</v>
      </c>
      <c r="M707" t="str">
        <f>IF(tblPenalties[[#This Row],[total_yards]]=0, "Declined", "Accepted")</f>
        <v>Accepted</v>
      </c>
    </row>
    <row r="708" spans="1:13" x14ac:dyDescent="0.25">
      <c r="A708" s="1" t="s">
        <v>47</v>
      </c>
      <c r="B708" s="1" t="s">
        <v>13</v>
      </c>
      <c r="C708" s="1" t="s">
        <v>120</v>
      </c>
      <c r="D708">
        <v>1</v>
      </c>
      <c r="E708">
        <v>7</v>
      </c>
      <c r="F708">
        <v>7</v>
      </c>
      <c r="J708" s="1" t="s">
        <v>115</v>
      </c>
      <c r="K708">
        <v>1</v>
      </c>
      <c r="L708">
        <v>0</v>
      </c>
      <c r="M708" t="str">
        <f>IF(tblPenalties[[#This Row],[total_yards]]=0, "Declined", "Accepted")</f>
        <v>Accepted</v>
      </c>
    </row>
    <row r="709" spans="1:13" x14ac:dyDescent="0.25">
      <c r="A709" s="1" t="s">
        <v>147</v>
      </c>
      <c r="B709" s="1" t="s">
        <v>13</v>
      </c>
      <c r="C709" s="1" t="s">
        <v>128</v>
      </c>
      <c r="D709">
        <v>3</v>
      </c>
      <c r="E709">
        <v>76</v>
      </c>
      <c r="F709">
        <v>25.33</v>
      </c>
      <c r="J709" s="1" t="s">
        <v>115</v>
      </c>
      <c r="K709">
        <v>1</v>
      </c>
      <c r="L709">
        <v>0</v>
      </c>
      <c r="M709" t="str">
        <f>IF(tblPenalties[[#This Row],[total_yards]]=0, "Declined", "Accepted")</f>
        <v>Accepted</v>
      </c>
    </row>
    <row r="710" spans="1:13" x14ac:dyDescent="0.25">
      <c r="A710" s="1" t="s">
        <v>48</v>
      </c>
      <c r="B710" s="1" t="s">
        <v>26</v>
      </c>
      <c r="C710" s="1" t="s">
        <v>114</v>
      </c>
      <c r="D710">
        <v>3</v>
      </c>
      <c r="E710">
        <v>27</v>
      </c>
      <c r="F710">
        <v>9</v>
      </c>
      <c r="J710" s="1" t="s">
        <v>115</v>
      </c>
      <c r="K710">
        <v>1</v>
      </c>
      <c r="L710">
        <v>0</v>
      </c>
      <c r="M710" t="str">
        <f>IF(tblPenalties[[#This Row],[total_yards]]=0, "Declined", "Accepted")</f>
        <v>Accepted</v>
      </c>
    </row>
    <row r="711" spans="1:13" x14ac:dyDescent="0.25">
      <c r="A711" s="1" t="s">
        <v>48</v>
      </c>
      <c r="B711" s="1" t="s">
        <v>26</v>
      </c>
      <c r="C711" s="1" t="s">
        <v>128</v>
      </c>
      <c r="D711">
        <v>2</v>
      </c>
      <c r="E711">
        <v>15</v>
      </c>
      <c r="F711">
        <v>7.5</v>
      </c>
      <c r="J711" s="1" t="s">
        <v>115</v>
      </c>
      <c r="K711">
        <v>1</v>
      </c>
      <c r="L711">
        <v>0</v>
      </c>
      <c r="M711" t="str">
        <f>IF(tblPenalties[[#This Row],[total_yards]]=0, "Declined", "Accepted")</f>
        <v>Accepted</v>
      </c>
    </row>
    <row r="712" spans="1:13" x14ac:dyDescent="0.25">
      <c r="A712" s="1" t="s">
        <v>50</v>
      </c>
      <c r="B712" s="1" t="s">
        <v>17</v>
      </c>
      <c r="C712" s="1" t="s">
        <v>114</v>
      </c>
      <c r="D712">
        <v>4</v>
      </c>
      <c r="E712">
        <v>22</v>
      </c>
      <c r="F712">
        <v>5.5</v>
      </c>
      <c r="J712" s="1" t="s">
        <v>115</v>
      </c>
      <c r="K712">
        <v>1</v>
      </c>
      <c r="L712">
        <v>0</v>
      </c>
      <c r="M712" t="str">
        <f>IF(tblPenalties[[#This Row],[total_yards]]=0, "Declined", "Accepted")</f>
        <v>Accepted</v>
      </c>
    </row>
    <row r="713" spans="1:13" x14ac:dyDescent="0.25">
      <c r="A713" s="1" t="s">
        <v>50</v>
      </c>
      <c r="B713" s="1" t="s">
        <v>17</v>
      </c>
      <c r="C713" s="1" t="s">
        <v>120</v>
      </c>
      <c r="D713">
        <v>1</v>
      </c>
      <c r="E713">
        <v>6</v>
      </c>
      <c r="F713">
        <v>6</v>
      </c>
      <c r="J713" s="1" t="s">
        <v>115</v>
      </c>
      <c r="K713">
        <v>1</v>
      </c>
      <c r="L713">
        <v>0</v>
      </c>
      <c r="M713" t="str">
        <f>IF(tblPenalties[[#This Row],[total_yards]]=0, "Declined", "Accepted")</f>
        <v>Accepted</v>
      </c>
    </row>
    <row r="714" spans="1:13" x14ac:dyDescent="0.25">
      <c r="A714" s="1" t="s">
        <v>51</v>
      </c>
      <c r="B714" s="1" t="s">
        <v>52</v>
      </c>
      <c r="C714" s="1" t="s">
        <v>114</v>
      </c>
      <c r="D714">
        <v>3</v>
      </c>
      <c r="E714">
        <v>69</v>
      </c>
      <c r="F714">
        <v>23</v>
      </c>
      <c r="J714" s="1" t="s">
        <v>115</v>
      </c>
      <c r="K714">
        <v>1</v>
      </c>
      <c r="L714">
        <v>0</v>
      </c>
      <c r="M714" t="str">
        <f>IF(tblPenalties[[#This Row],[total_yards]]=0, "Declined", "Accepted")</f>
        <v>Accepted</v>
      </c>
    </row>
    <row r="715" spans="1:13" x14ac:dyDescent="0.25">
      <c r="A715" s="1" t="s">
        <v>51</v>
      </c>
      <c r="B715" s="1" t="s">
        <v>52</v>
      </c>
      <c r="C715" s="1" t="s">
        <v>125</v>
      </c>
      <c r="D715">
        <v>2</v>
      </c>
      <c r="E715">
        <v>15</v>
      </c>
      <c r="F715">
        <v>7.5</v>
      </c>
      <c r="J715" s="1" t="s">
        <v>115</v>
      </c>
      <c r="K715">
        <v>1</v>
      </c>
      <c r="L715">
        <v>0</v>
      </c>
      <c r="M715" t="str">
        <f>IF(tblPenalties[[#This Row],[total_yards]]=0, "Declined", "Accepted")</f>
        <v>Accepted</v>
      </c>
    </row>
    <row r="716" spans="1:13" x14ac:dyDescent="0.25">
      <c r="A716" s="1" t="s">
        <v>51</v>
      </c>
      <c r="B716" s="1" t="s">
        <v>52</v>
      </c>
      <c r="C716" s="1" t="s">
        <v>128</v>
      </c>
      <c r="D716">
        <v>2</v>
      </c>
      <c r="E716">
        <v>19</v>
      </c>
      <c r="F716">
        <v>9.5</v>
      </c>
      <c r="J716" s="1" t="s">
        <v>115</v>
      </c>
      <c r="K716">
        <v>1</v>
      </c>
      <c r="L716">
        <v>0</v>
      </c>
      <c r="M716" t="str">
        <f>IF(tblPenalties[[#This Row],[total_yards]]=0, "Declined", "Accepted")</f>
        <v>Accepted</v>
      </c>
    </row>
    <row r="717" spans="1:13" x14ac:dyDescent="0.25">
      <c r="A717" s="1" t="s">
        <v>53</v>
      </c>
      <c r="B717" s="1" t="s">
        <v>17</v>
      </c>
      <c r="C717" s="1" t="s">
        <v>128</v>
      </c>
      <c r="D717">
        <v>1</v>
      </c>
      <c r="E717">
        <v>7</v>
      </c>
      <c r="F717">
        <v>7</v>
      </c>
      <c r="J717" s="1" t="s">
        <v>115</v>
      </c>
      <c r="K717">
        <v>1</v>
      </c>
      <c r="L717">
        <v>0</v>
      </c>
      <c r="M717" t="str">
        <f>IF(tblPenalties[[#This Row],[total_yards]]=0, "Declined", "Accepted")</f>
        <v>Accepted</v>
      </c>
    </row>
    <row r="718" spans="1:13" x14ac:dyDescent="0.25">
      <c r="A718" s="1" t="s">
        <v>55</v>
      </c>
      <c r="B718" s="1" t="s">
        <v>40</v>
      </c>
      <c r="C718" s="1" t="s">
        <v>120</v>
      </c>
      <c r="D718">
        <v>2</v>
      </c>
      <c r="E718">
        <v>19</v>
      </c>
      <c r="F718">
        <v>9.5</v>
      </c>
      <c r="J718" s="1" t="s">
        <v>115</v>
      </c>
      <c r="K718">
        <v>1</v>
      </c>
      <c r="L718">
        <v>0</v>
      </c>
      <c r="M718" t="str">
        <f>IF(tblPenalties[[#This Row],[total_yards]]=0, "Declined", "Accepted")</f>
        <v>Accepted</v>
      </c>
    </row>
    <row r="719" spans="1:13" x14ac:dyDescent="0.25">
      <c r="A719" s="1" t="s">
        <v>139</v>
      </c>
      <c r="B719" s="1" t="s">
        <v>17</v>
      </c>
      <c r="C719" s="1" t="s">
        <v>114</v>
      </c>
      <c r="D719">
        <v>2</v>
      </c>
      <c r="E719">
        <v>28</v>
      </c>
      <c r="F719">
        <v>14</v>
      </c>
      <c r="J719" s="1" t="s">
        <v>115</v>
      </c>
      <c r="K719">
        <v>1</v>
      </c>
      <c r="L719">
        <v>0</v>
      </c>
      <c r="M719" t="str">
        <f>IF(tblPenalties[[#This Row],[total_yards]]=0, "Declined", "Accepted")</f>
        <v>Accepted</v>
      </c>
    </row>
    <row r="720" spans="1:13" x14ac:dyDescent="0.25">
      <c r="A720" s="1" t="s">
        <v>56</v>
      </c>
      <c r="B720" s="1" t="s">
        <v>40</v>
      </c>
      <c r="C720" s="1" t="s">
        <v>114</v>
      </c>
      <c r="D720">
        <v>3</v>
      </c>
      <c r="E720">
        <v>28</v>
      </c>
      <c r="F720">
        <v>9.33</v>
      </c>
      <c r="J720" s="1" t="s">
        <v>115</v>
      </c>
      <c r="K720">
        <v>1</v>
      </c>
      <c r="L720">
        <v>0</v>
      </c>
      <c r="M720" t="str">
        <f>IF(tblPenalties[[#This Row],[total_yards]]=0, "Declined", "Accepted")</f>
        <v>Accepted</v>
      </c>
    </row>
    <row r="721" spans="1:13" x14ac:dyDescent="0.25">
      <c r="A721" s="1" t="s">
        <v>56</v>
      </c>
      <c r="B721" s="1" t="s">
        <v>40</v>
      </c>
      <c r="C721" s="1" t="s">
        <v>128</v>
      </c>
      <c r="D721">
        <v>1</v>
      </c>
      <c r="E721">
        <v>17</v>
      </c>
      <c r="F721">
        <v>17</v>
      </c>
      <c r="J721" s="1" t="s">
        <v>115</v>
      </c>
      <c r="K721">
        <v>1</v>
      </c>
      <c r="L721">
        <v>0</v>
      </c>
      <c r="M721" t="str">
        <f>IF(tblPenalties[[#This Row],[total_yards]]=0, "Declined", "Accepted")</f>
        <v>Accepted</v>
      </c>
    </row>
    <row r="722" spans="1:13" x14ac:dyDescent="0.25">
      <c r="A722" s="1" t="s">
        <v>56</v>
      </c>
      <c r="B722" s="1" t="s">
        <v>40</v>
      </c>
      <c r="C722" s="1" t="s">
        <v>120</v>
      </c>
      <c r="D722">
        <v>1</v>
      </c>
      <c r="E722">
        <v>6</v>
      </c>
      <c r="F722">
        <v>6</v>
      </c>
      <c r="J722" s="1" t="s">
        <v>115</v>
      </c>
      <c r="K722">
        <v>1</v>
      </c>
      <c r="L722">
        <v>0</v>
      </c>
      <c r="M722" t="str">
        <f>IF(tblPenalties[[#This Row],[total_yards]]=0, "Declined", "Accepted")</f>
        <v>Accepted</v>
      </c>
    </row>
    <row r="723" spans="1:13" x14ac:dyDescent="0.25">
      <c r="A723" s="1" t="s">
        <v>116</v>
      </c>
      <c r="B723" s="1" t="s">
        <v>21</v>
      </c>
      <c r="C723" s="1" t="s">
        <v>114</v>
      </c>
      <c r="D723">
        <v>4</v>
      </c>
      <c r="E723">
        <v>37</v>
      </c>
      <c r="F723">
        <v>9.25</v>
      </c>
      <c r="J723" s="1" t="s">
        <v>115</v>
      </c>
      <c r="K723">
        <v>1</v>
      </c>
      <c r="L723">
        <v>0</v>
      </c>
      <c r="M723" t="str">
        <f>IF(tblPenalties[[#This Row],[total_yards]]=0, "Declined", "Accepted")</f>
        <v>Accepted</v>
      </c>
    </row>
    <row r="724" spans="1:13" x14ac:dyDescent="0.25">
      <c r="A724" s="1" t="s">
        <v>116</v>
      </c>
      <c r="B724" s="1" t="s">
        <v>21</v>
      </c>
      <c r="C724" s="1" t="s">
        <v>152</v>
      </c>
      <c r="D724">
        <v>1</v>
      </c>
      <c r="E724">
        <v>51</v>
      </c>
      <c r="F724">
        <v>51</v>
      </c>
      <c r="J724" s="1" t="s">
        <v>115</v>
      </c>
      <c r="K724">
        <v>1</v>
      </c>
      <c r="L724">
        <v>0</v>
      </c>
      <c r="M724" t="str">
        <f>IF(tblPenalties[[#This Row],[total_yards]]=0, "Declined", "Accepted")</f>
        <v>Accepted</v>
      </c>
    </row>
    <row r="725" spans="1:13" x14ac:dyDescent="0.25">
      <c r="A725" s="1" t="s">
        <v>57</v>
      </c>
      <c r="B725" s="1" t="s">
        <v>19</v>
      </c>
      <c r="C725" s="1" t="s">
        <v>125</v>
      </c>
      <c r="D725">
        <v>1</v>
      </c>
      <c r="E725">
        <v>50</v>
      </c>
      <c r="F725">
        <v>50</v>
      </c>
      <c r="J725" s="1" t="s">
        <v>115</v>
      </c>
      <c r="K725">
        <v>1</v>
      </c>
      <c r="L725">
        <v>0</v>
      </c>
      <c r="M725" t="str">
        <f>IF(tblPenalties[[#This Row],[total_yards]]=0, "Declined", "Accepted")</f>
        <v>Accepted</v>
      </c>
    </row>
    <row r="726" spans="1:13" x14ac:dyDescent="0.25">
      <c r="A726" s="1" t="s">
        <v>58</v>
      </c>
      <c r="B726" s="1" t="s">
        <v>19</v>
      </c>
      <c r="C726" s="1" t="s">
        <v>114</v>
      </c>
      <c r="D726">
        <v>3</v>
      </c>
      <c r="E726">
        <v>1</v>
      </c>
      <c r="F726">
        <v>0.33</v>
      </c>
      <c r="J726" s="1" t="s">
        <v>115</v>
      </c>
      <c r="K726">
        <v>1</v>
      </c>
      <c r="L726">
        <v>0</v>
      </c>
      <c r="M726" t="str">
        <f>IF(tblPenalties[[#This Row],[total_yards]]=0, "Declined", "Accepted")</f>
        <v>Accepted</v>
      </c>
    </row>
    <row r="727" spans="1:13" x14ac:dyDescent="0.25">
      <c r="A727" s="1" t="s">
        <v>58</v>
      </c>
      <c r="B727" s="1" t="s">
        <v>19</v>
      </c>
      <c r="C727" s="1" t="s">
        <v>120</v>
      </c>
      <c r="D727">
        <v>1</v>
      </c>
      <c r="E727">
        <v>59</v>
      </c>
      <c r="F727">
        <v>59</v>
      </c>
      <c r="J727" s="1" t="s">
        <v>115</v>
      </c>
      <c r="K727">
        <v>1</v>
      </c>
      <c r="L727">
        <v>0</v>
      </c>
      <c r="M727" t="str">
        <f>IF(tblPenalties[[#This Row],[total_yards]]=0, "Declined", "Accepted")</f>
        <v>Accepted</v>
      </c>
    </row>
    <row r="728" spans="1:13" x14ac:dyDescent="0.25">
      <c r="A728" s="1" t="s">
        <v>59</v>
      </c>
      <c r="B728" s="1" t="s">
        <v>40</v>
      </c>
      <c r="C728" s="1" t="s">
        <v>114</v>
      </c>
      <c r="D728">
        <v>5</v>
      </c>
      <c r="E728">
        <v>83</v>
      </c>
      <c r="F728">
        <v>16.600000000000001</v>
      </c>
      <c r="J728" s="1" t="s">
        <v>115</v>
      </c>
      <c r="K728">
        <v>1</v>
      </c>
      <c r="L728">
        <v>0</v>
      </c>
      <c r="M728" t="str">
        <f>IF(tblPenalties[[#This Row],[total_yards]]=0, "Declined", "Accepted")</f>
        <v>Accepted</v>
      </c>
    </row>
    <row r="729" spans="1:13" x14ac:dyDescent="0.25">
      <c r="A729" s="1" t="s">
        <v>60</v>
      </c>
      <c r="B729" s="1" t="s">
        <v>40</v>
      </c>
      <c r="C729" s="1" t="s">
        <v>114</v>
      </c>
      <c r="D729">
        <v>3</v>
      </c>
      <c r="E729">
        <v>27</v>
      </c>
      <c r="F729">
        <v>9</v>
      </c>
      <c r="J729" s="1" t="s">
        <v>115</v>
      </c>
      <c r="K729">
        <v>1</v>
      </c>
      <c r="L729">
        <v>0</v>
      </c>
      <c r="M729" t="str">
        <f>IF(tblPenalties[[#This Row],[total_yards]]=0, "Declined", "Accepted")</f>
        <v>Accepted</v>
      </c>
    </row>
    <row r="730" spans="1:13" x14ac:dyDescent="0.25">
      <c r="A730" s="1" t="s">
        <v>60</v>
      </c>
      <c r="B730" s="1" t="s">
        <v>40</v>
      </c>
      <c r="C730" s="1" t="s">
        <v>128</v>
      </c>
      <c r="D730">
        <v>2</v>
      </c>
      <c r="E730">
        <v>15</v>
      </c>
      <c r="F730">
        <v>7.5</v>
      </c>
      <c r="J730" s="1" t="s">
        <v>115</v>
      </c>
      <c r="K730">
        <v>1</v>
      </c>
      <c r="L730">
        <v>0</v>
      </c>
      <c r="M730" t="str">
        <f>IF(tblPenalties[[#This Row],[total_yards]]=0, "Declined", "Accepted")</f>
        <v>Accepted</v>
      </c>
    </row>
    <row r="731" spans="1:13" x14ac:dyDescent="0.25">
      <c r="A731" s="1" t="s">
        <v>61</v>
      </c>
      <c r="B731" s="1" t="s">
        <v>13</v>
      </c>
      <c r="C731" s="1" t="s">
        <v>120</v>
      </c>
      <c r="D731">
        <v>2</v>
      </c>
      <c r="E731">
        <v>34</v>
      </c>
      <c r="F731">
        <v>17</v>
      </c>
      <c r="J731" s="1" t="s">
        <v>115</v>
      </c>
      <c r="K731">
        <v>1</v>
      </c>
      <c r="L731">
        <v>0</v>
      </c>
      <c r="M731" t="str">
        <f>IF(tblPenalties[[#This Row],[total_yards]]=0, "Declined", "Accepted")</f>
        <v>Accepted</v>
      </c>
    </row>
    <row r="732" spans="1:13" x14ac:dyDescent="0.25">
      <c r="A732" s="1" t="s">
        <v>62</v>
      </c>
      <c r="B732" s="1" t="s">
        <v>40</v>
      </c>
      <c r="C732" s="1" t="s">
        <v>128</v>
      </c>
      <c r="D732">
        <v>3</v>
      </c>
      <c r="E732">
        <v>30</v>
      </c>
      <c r="F732">
        <v>10</v>
      </c>
      <c r="J732" s="1" t="s">
        <v>115</v>
      </c>
      <c r="K732">
        <v>1</v>
      </c>
      <c r="L732">
        <v>0</v>
      </c>
      <c r="M732" t="str">
        <f>IF(tblPenalties[[#This Row],[total_yards]]=0, "Declined", "Accepted")</f>
        <v>Accepted</v>
      </c>
    </row>
    <row r="733" spans="1:13" x14ac:dyDescent="0.25">
      <c r="A733" s="1" t="s">
        <v>62</v>
      </c>
      <c r="B733" s="1" t="s">
        <v>40</v>
      </c>
      <c r="C733" s="1" t="s">
        <v>114</v>
      </c>
      <c r="D733">
        <v>2</v>
      </c>
      <c r="E733">
        <v>16</v>
      </c>
      <c r="F733">
        <v>8</v>
      </c>
      <c r="J733" s="1" t="s">
        <v>115</v>
      </c>
      <c r="K733">
        <v>1</v>
      </c>
      <c r="L733">
        <v>0</v>
      </c>
      <c r="M733" t="str">
        <f>IF(tblPenalties[[#This Row],[total_yards]]=0, "Declined", "Accepted")</f>
        <v>Accepted</v>
      </c>
    </row>
    <row r="734" spans="1:13" x14ac:dyDescent="0.25">
      <c r="A734" s="1" t="s">
        <v>63</v>
      </c>
      <c r="B734" s="1" t="s">
        <v>13</v>
      </c>
      <c r="C734" s="1" t="s">
        <v>114</v>
      </c>
      <c r="D734">
        <v>2</v>
      </c>
      <c r="E734">
        <v>3</v>
      </c>
      <c r="F734">
        <v>1.5</v>
      </c>
      <c r="J734" s="1" t="s">
        <v>115</v>
      </c>
      <c r="K734">
        <v>1</v>
      </c>
      <c r="L734">
        <v>0</v>
      </c>
      <c r="M734" t="str">
        <f>IF(tblPenalties[[#This Row],[total_yards]]=0, "Declined", "Accepted")</f>
        <v>Accepted</v>
      </c>
    </row>
    <row r="735" spans="1:13" x14ac:dyDescent="0.25">
      <c r="A735" s="1" t="s">
        <v>65</v>
      </c>
      <c r="B735" s="1" t="s">
        <v>34</v>
      </c>
      <c r="C735" s="1" t="s">
        <v>128</v>
      </c>
      <c r="D735">
        <v>3</v>
      </c>
      <c r="E735">
        <v>28</v>
      </c>
      <c r="F735">
        <v>9.33</v>
      </c>
      <c r="J735" s="1" t="s">
        <v>115</v>
      </c>
      <c r="K735">
        <v>1</v>
      </c>
      <c r="L735">
        <v>0</v>
      </c>
      <c r="M735" t="str">
        <f>IF(tblPenalties[[#This Row],[total_yards]]=0, "Declined", "Accepted")</f>
        <v>Accepted</v>
      </c>
    </row>
    <row r="736" spans="1:13" x14ac:dyDescent="0.25">
      <c r="A736" s="1" t="s">
        <v>66</v>
      </c>
      <c r="B736" s="1" t="s">
        <v>21</v>
      </c>
      <c r="C736" s="1" t="s">
        <v>114</v>
      </c>
      <c r="D736">
        <v>3</v>
      </c>
      <c r="E736">
        <v>4</v>
      </c>
      <c r="F736">
        <v>1.33</v>
      </c>
      <c r="J736" s="1" t="s">
        <v>115</v>
      </c>
      <c r="K736">
        <v>1</v>
      </c>
      <c r="L736">
        <v>0</v>
      </c>
      <c r="M736" t="str">
        <f>IF(tblPenalties[[#This Row],[total_yards]]=0, "Declined", "Accepted")</f>
        <v>Accepted</v>
      </c>
    </row>
    <row r="737" spans="1:13" x14ac:dyDescent="0.25">
      <c r="A737" s="1" t="s">
        <v>66</v>
      </c>
      <c r="B737" s="1" t="s">
        <v>21</v>
      </c>
      <c r="C737" s="1" t="s">
        <v>120</v>
      </c>
      <c r="D737">
        <v>1</v>
      </c>
      <c r="E737">
        <v>20</v>
      </c>
      <c r="F737">
        <v>20</v>
      </c>
      <c r="J737" s="1" t="s">
        <v>115</v>
      </c>
      <c r="K737">
        <v>1</v>
      </c>
      <c r="L737">
        <v>0</v>
      </c>
      <c r="M737" t="str">
        <f>IF(tblPenalties[[#This Row],[total_yards]]=0, "Declined", "Accepted")</f>
        <v>Accepted</v>
      </c>
    </row>
    <row r="738" spans="1:13" x14ac:dyDescent="0.25">
      <c r="A738" s="1" t="s">
        <v>67</v>
      </c>
      <c r="B738" s="1" t="s">
        <v>52</v>
      </c>
      <c r="C738" s="1" t="s">
        <v>114</v>
      </c>
      <c r="D738">
        <v>2</v>
      </c>
      <c r="E738">
        <v>38</v>
      </c>
      <c r="F738">
        <v>19</v>
      </c>
      <c r="J738" s="1" t="s">
        <v>115</v>
      </c>
      <c r="K738">
        <v>1</v>
      </c>
      <c r="L738">
        <v>0</v>
      </c>
      <c r="M738" t="str">
        <f>IF(tblPenalties[[#This Row],[total_yards]]=0, "Declined", "Accepted")</f>
        <v>Accepted</v>
      </c>
    </row>
    <row r="739" spans="1:13" x14ac:dyDescent="0.25">
      <c r="A739" s="1" t="s">
        <v>119</v>
      </c>
      <c r="B739" s="1" t="s">
        <v>52</v>
      </c>
      <c r="C739" s="1" t="s">
        <v>114</v>
      </c>
      <c r="D739">
        <v>3</v>
      </c>
      <c r="E739">
        <v>17</v>
      </c>
      <c r="F739">
        <v>5.67</v>
      </c>
      <c r="J739" s="1" t="s">
        <v>115</v>
      </c>
      <c r="K739">
        <v>1</v>
      </c>
      <c r="L739">
        <v>0</v>
      </c>
      <c r="M739" t="str">
        <f>IF(tblPenalties[[#This Row],[total_yards]]=0, "Declined", "Accepted")</f>
        <v>Accepted</v>
      </c>
    </row>
    <row r="740" spans="1:13" x14ac:dyDescent="0.25">
      <c r="A740" s="1" t="s">
        <v>68</v>
      </c>
      <c r="B740" s="1" t="s">
        <v>19</v>
      </c>
      <c r="C740" s="1" t="s">
        <v>128</v>
      </c>
      <c r="D740">
        <v>2</v>
      </c>
      <c r="E740">
        <v>48</v>
      </c>
      <c r="F740">
        <v>24</v>
      </c>
      <c r="J740" s="1" t="s">
        <v>115</v>
      </c>
      <c r="K740">
        <v>1</v>
      </c>
      <c r="L740">
        <v>0</v>
      </c>
      <c r="M740" t="str">
        <f>IF(tblPenalties[[#This Row],[total_yards]]=0, "Declined", "Accepted")</f>
        <v>Accepted</v>
      </c>
    </row>
    <row r="741" spans="1:13" x14ac:dyDescent="0.25">
      <c r="A741" s="1" t="s">
        <v>71</v>
      </c>
      <c r="B741" s="1" t="s">
        <v>34</v>
      </c>
      <c r="C741" s="1" t="s">
        <v>114</v>
      </c>
      <c r="D741">
        <v>4</v>
      </c>
      <c r="E741">
        <v>34</v>
      </c>
      <c r="F741">
        <v>8.5</v>
      </c>
      <c r="J741" s="1" t="s">
        <v>115</v>
      </c>
      <c r="K741">
        <v>1</v>
      </c>
      <c r="L741">
        <v>0</v>
      </c>
      <c r="M741" t="str">
        <f>IF(tblPenalties[[#This Row],[total_yards]]=0, "Declined", "Accepted")</f>
        <v>Accepted</v>
      </c>
    </row>
    <row r="742" spans="1:13" x14ac:dyDescent="0.25">
      <c r="A742" s="1" t="s">
        <v>121</v>
      </c>
      <c r="B742" s="1" t="s">
        <v>28</v>
      </c>
      <c r="C742" s="1" t="s">
        <v>114</v>
      </c>
      <c r="D742">
        <v>6</v>
      </c>
      <c r="E742">
        <v>38</v>
      </c>
      <c r="F742">
        <v>6.33</v>
      </c>
      <c r="J742" s="1" t="s">
        <v>115</v>
      </c>
      <c r="K742">
        <v>1</v>
      </c>
      <c r="L742">
        <v>0</v>
      </c>
      <c r="M742" t="str">
        <f>IF(tblPenalties[[#This Row],[total_yards]]=0, "Declined", "Accepted")</f>
        <v>Accepted</v>
      </c>
    </row>
    <row r="743" spans="1:13" x14ac:dyDescent="0.25">
      <c r="A743" s="1" t="s">
        <v>121</v>
      </c>
      <c r="B743" s="1" t="s">
        <v>28</v>
      </c>
      <c r="C743" s="1" t="s">
        <v>128</v>
      </c>
      <c r="D743">
        <v>2</v>
      </c>
      <c r="E743">
        <v>15</v>
      </c>
      <c r="F743">
        <v>7.5</v>
      </c>
      <c r="J743" s="1" t="s">
        <v>115</v>
      </c>
      <c r="K743">
        <v>1</v>
      </c>
      <c r="L743">
        <v>0</v>
      </c>
      <c r="M743" t="str">
        <f>IF(tblPenalties[[#This Row],[total_yards]]=0, "Declined", "Accepted")</f>
        <v>Accepted</v>
      </c>
    </row>
    <row r="744" spans="1:13" x14ac:dyDescent="0.25">
      <c r="A744" s="1" t="s">
        <v>72</v>
      </c>
      <c r="B744" s="1" t="s">
        <v>34</v>
      </c>
      <c r="C744" s="1" t="s">
        <v>114</v>
      </c>
      <c r="D744">
        <v>1</v>
      </c>
      <c r="E744">
        <v>7</v>
      </c>
      <c r="F744">
        <v>7</v>
      </c>
      <c r="J744" s="1" t="s">
        <v>115</v>
      </c>
      <c r="K744">
        <v>1</v>
      </c>
      <c r="L744">
        <v>0</v>
      </c>
      <c r="M744" t="str">
        <f>IF(tblPenalties[[#This Row],[total_yards]]=0, "Declined", "Accepted")</f>
        <v>Accepted</v>
      </c>
    </row>
    <row r="745" spans="1:13" x14ac:dyDescent="0.25">
      <c r="A745" s="1" t="s">
        <v>148</v>
      </c>
      <c r="B745" s="1" t="s">
        <v>52</v>
      </c>
      <c r="C745" s="1" t="s">
        <v>114</v>
      </c>
      <c r="D745">
        <v>8</v>
      </c>
      <c r="E745">
        <v>143</v>
      </c>
      <c r="F745">
        <v>17.88</v>
      </c>
      <c r="J745" s="1" t="s">
        <v>115</v>
      </c>
      <c r="K745">
        <v>1</v>
      </c>
      <c r="L745">
        <v>0</v>
      </c>
      <c r="M745" t="str">
        <f>IF(tblPenalties[[#This Row],[total_yards]]=0, "Declined", "Accepted")</f>
        <v>Accepted</v>
      </c>
    </row>
    <row r="746" spans="1:13" x14ac:dyDescent="0.25">
      <c r="A746" s="1" t="s">
        <v>123</v>
      </c>
      <c r="B746" s="1" t="s">
        <v>26</v>
      </c>
      <c r="C746" s="1" t="s">
        <v>114</v>
      </c>
      <c r="D746">
        <v>2</v>
      </c>
      <c r="E746">
        <v>25</v>
      </c>
      <c r="F746">
        <v>12.5</v>
      </c>
      <c r="J746" s="1" t="s">
        <v>115</v>
      </c>
      <c r="K746">
        <v>1</v>
      </c>
      <c r="L746">
        <v>0</v>
      </c>
      <c r="M746" t="str">
        <f>IF(tblPenalties[[#This Row],[total_yards]]=0, "Declined", "Accepted")</f>
        <v>Accepted</v>
      </c>
    </row>
    <row r="747" spans="1:13" x14ac:dyDescent="0.25">
      <c r="A747" s="1" t="s">
        <v>123</v>
      </c>
      <c r="B747" s="1" t="s">
        <v>26</v>
      </c>
      <c r="C747" s="1" t="s">
        <v>120</v>
      </c>
      <c r="D747">
        <v>1</v>
      </c>
      <c r="E747">
        <v>1</v>
      </c>
      <c r="F747">
        <v>1</v>
      </c>
      <c r="J747" s="1" t="s">
        <v>115</v>
      </c>
      <c r="K747">
        <v>1</v>
      </c>
      <c r="L747">
        <v>0</v>
      </c>
      <c r="M747" t="str">
        <f>IF(tblPenalties[[#This Row],[total_yards]]=0, "Declined", "Accepted")</f>
        <v>Accepted</v>
      </c>
    </row>
    <row r="748" spans="1:13" x14ac:dyDescent="0.25">
      <c r="A748" s="1" t="s">
        <v>73</v>
      </c>
      <c r="B748" s="1" t="s">
        <v>26</v>
      </c>
      <c r="C748" s="1" t="s">
        <v>114</v>
      </c>
      <c r="D748">
        <v>4</v>
      </c>
      <c r="E748">
        <v>37</v>
      </c>
      <c r="F748">
        <v>9.25</v>
      </c>
      <c r="J748" s="1" t="s">
        <v>115</v>
      </c>
      <c r="K748">
        <v>1</v>
      </c>
      <c r="L748">
        <v>0</v>
      </c>
      <c r="M748" t="str">
        <f>IF(tblPenalties[[#This Row],[total_yards]]=0, "Declined", "Accepted")</f>
        <v>Accepted</v>
      </c>
    </row>
    <row r="749" spans="1:13" x14ac:dyDescent="0.25">
      <c r="A749" s="1" t="s">
        <v>73</v>
      </c>
      <c r="B749" s="1" t="s">
        <v>26</v>
      </c>
      <c r="C749" s="1" t="s">
        <v>120</v>
      </c>
      <c r="D749">
        <v>1</v>
      </c>
      <c r="E749">
        <v>12</v>
      </c>
      <c r="F749">
        <v>12</v>
      </c>
      <c r="J749" s="1" t="s">
        <v>115</v>
      </c>
      <c r="K749">
        <v>1</v>
      </c>
      <c r="L749">
        <v>0</v>
      </c>
      <c r="M749" t="str">
        <f>IF(tblPenalties[[#This Row],[total_yards]]=0, "Declined", "Accepted")</f>
        <v>Accepted</v>
      </c>
    </row>
    <row r="750" spans="1:13" x14ac:dyDescent="0.25">
      <c r="A750" s="1" t="s">
        <v>74</v>
      </c>
      <c r="B750" s="1" t="s">
        <v>40</v>
      </c>
      <c r="C750" s="1" t="s">
        <v>128</v>
      </c>
      <c r="D750">
        <v>2</v>
      </c>
      <c r="E750">
        <v>21</v>
      </c>
      <c r="F750">
        <v>10.5</v>
      </c>
      <c r="J750" s="1" t="s">
        <v>115</v>
      </c>
      <c r="K750">
        <v>1</v>
      </c>
      <c r="L750">
        <v>0</v>
      </c>
      <c r="M750" t="str">
        <f>IF(tblPenalties[[#This Row],[total_yards]]=0, "Declined", "Accepted")</f>
        <v>Accepted</v>
      </c>
    </row>
    <row r="751" spans="1:13" x14ac:dyDescent="0.25">
      <c r="A751" s="1" t="s">
        <v>74</v>
      </c>
      <c r="B751" s="1" t="s">
        <v>40</v>
      </c>
      <c r="C751" s="1" t="s">
        <v>152</v>
      </c>
      <c r="D751">
        <v>1</v>
      </c>
      <c r="E751">
        <v>40</v>
      </c>
      <c r="F751">
        <v>40</v>
      </c>
      <c r="J751" s="1" t="s">
        <v>115</v>
      </c>
      <c r="K751">
        <v>1</v>
      </c>
      <c r="L751">
        <v>0</v>
      </c>
      <c r="M751" t="str">
        <f>IF(tblPenalties[[#This Row],[total_yards]]=0, "Declined", "Accepted")</f>
        <v>Accepted</v>
      </c>
    </row>
    <row r="752" spans="1:13" x14ac:dyDescent="0.25">
      <c r="A752" s="1" t="s">
        <v>150</v>
      </c>
      <c r="B752" s="1" t="s">
        <v>28</v>
      </c>
      <c r="C752" s="1" t="s">
        <v>128</v>
      </c>
      <c r="D752">
        <v>3</v>
      </c>
      <c r="E752">
        <v>37</v>
      </c>
      <c r="F752">
        <v>12.33</v>
      </c>
      <c r="J752" s="1" t="s">
        <v>115</v>
      </c>
      <c r="K752">
        <v>1</v>
      </c>
      <c r="L752">
        <v>0</v>
      </c>
      <c r="M752" t="str">
        <f>IF(tblPenalties[[#This Row],[total_yards]]=0, "Declined", "Accepted")</f>
        <v>Accepted</v>
      </c>
    </row>
    <row r="753" spans="1:13" x14ac:dyDescent="0.25">
      <c r="A753" s="1" t="s">
        <v>150</v>
      </c>
      <c r="B753" s="1" t="s">
        <v>28</v>
      </c>
      <c r="C753" s="1" t="s">
        <v>114</v>
      </c>
      <c r="D753">
        <v>1</v>
      </c>
      <c r="E753">
        <v>1</v>
      </c>
      <c r="F753">
        <v>1</v>
      </c>
      <c r="J753" s="1" t="s">
        <v>115</v>
      </c>
      <c r="K753">
        <v>1</v>
      </c>
      <c r="L753">
        <v>0</v>
      </c>
      <c r="M753" t="str">
        <f>IF(tblPenalties[[#This Row],[total_yards]]=0, "Declined", "Accepted")</f>
        <v>Accepted</v>
      </c>
    </row>
    <row r="754" spans="1:13" x14ac:dyDescent="0.25">
      <c r="A754" s="1" t="s">
        <v>140</v>
      </c>
      <c r="B754" s="1" t="s">
        <v>52</v>
      </c>
      <c r="C754" s="1" t="s">
        <v>114</v>
      </c>
      <c r="D754">
        <v>3</v>
      </c>
      <c r="E754">
        <v>18</v>
      </c>
      <c r="F754">
        <v>6</v>
      </c>
      <c r="J754" s="1" t="s">
        <v>115</v>
      </c>
      <c r="K754">
        <v>1</v>
      </c>
      <c r="L754">
        <v>0</v>
      </c>
      <c r="M754" t="str">
        <f>IF(tblPenalties[[#This Row],[total_yards]]=0, "Declined", "Accepted")</f>
        <v>Accepted</v>
      </c>
    </row>
    <row r="755" spans="1:13" x14ac:dyDescent="0.25">
      <c r="A755" s="1" t="s">
        <v>76</v>
      </c>
      <c r="B755" s="1" t="s">
        <v>21</v>
      </c>
      <c r="C755" s="1" t="s">
        <v>114</v>
      </c>
      <c r="D755">
        <v>2</v>
      </c>
      <c r="E755">
        <v>64</v>
      </c>
      <c r="F755">
        <v>32</v>
      </c>
      <c r="J755" s="1" t="s">
        <v>115</v>
      </c>
      <c r="K755">
        <v>1</v>
      </c>
      <c r="L755">
        <v>0</v>
      </c>
      <c r="M755" t="str">
        <f>IF(tblPenalties[[#This Row],[total_yards]]=0, "Declined", "Accepted")</f>
        <v>Accepted</v>
      </c>
    </row>
    <row r="756" spans="1:13" x14ac:dyDescent="0.25">
      <c r="A756" s="1" t="s">
        <v>77</v>
      </c>
      <c r="B756" s="1" t="s">
        <v>17</v>
      </c>
      <c r="C756" s="1" t="s">
        <v>120</v>
      </c>
      <c r="D756">
        <v>2</v>
      </c>
      <c r="E756">
        <v>22</v>
      </c>
      <c r="F756">
        <v>11</v>
      </c>
      <c r="J756" s="1" t="s">
        <v>115</v>
      </c>
      <c r="K756">
        <v>1</v>
      </c>
      <c r="L756">
        <v>0</v>
      </c>
      <c r="M756" t="str">
        <f>IF(tblPenalties[[#This Row],[total_yards]]=0, "Declined", "Accepted")</f>
        <v>Accepted</v>
      </c>
    </row>
    <row r="757" spans="1:13" x14ac:dyDescent="0.25">
      <c r="A757" s="1" t="s">
        <v>78</v>
      </c>
      <c r="B757" s="1" t="s">
        <v>79</v>
      </c>
      <c r="C757" s="1" t="s">
        <v>114</v>
      </c>
      <c r="D757">
        <v>5</v>
      </c>
      <c r="E757">
        <v>44</v>
      </c>
      <c r="F757">
        <v>8.8000000000000007</v>
      </c>
      <c r="J757" s="1" t="s">
        <v>115</v>
      </c>
      <c r="K757">
        <v>1</v>
      </c>
      <c r="L757">
        <v>0</v>
      </c>
      <c r="M757" t="str">
        <f>IF(tblPenalties[[#This Row],[total_yards]]=0, "Declined", "Accepted")</f>
        <v>Accepted</v>
      </c>
    </row>
    <row r="758" spans="1:13" x14ac:dyDescent="0.25">
      <c r="A758" s="1" t="s">
        <v>81</v>
      </c>
      <c r="B758" s="1" t="s">
        <v>52</v>
      </c>
      <c r="C758" s="1" t="s">
        <v>128</v>
      </c>
      <c r="D758">
        <v>2</v>
      </c>
      <c r="E758">
        <v>12</v>
      </c>
      <c r="F758">
        <v>6</v>
      </c>
      <c r="J758" s="1" t="s">
        <v>115</v>
      </c>
      <c r="K758">
        <v>1</v>
      </c>
      <c r="L758">
        <v>0</v>
      </c>
      <c r="M758" t="str">
        <f>IF(tblPenalties[[#This Row],[total_yards]]=0, "Declined", "Accepted")</f>
        <v>Accepted</v>
      </c>
    </row>
    <row r="759" spans="1:13" x14ac:dyDescent="0.25">
      <c r="A759" s="1" t="s">
        <v>82</v>
      </c>
      <c r="B759" s="1" t="s">
        <v>34</v>
      </c>
      <c r="C759" s="1" t="s">
        <v>128</v>
      </c>
      <c r="D759">
        <v>2</v>
      </c>
      <c r="E759">
        <v>1</v>
      </c>
      <c r="F759">
        <v>0.5</v>
      </c>
      <c r="J759" s="1" t="s">
        <v>115</v>
      </c>
      <c r="K759">
        <v>1</v>
      </c>
      <c r="L759">
        <v>0</v>
      </c>
      <c r="M759" t="str">
        <f>IF(tblPenalties[[#This Row],[total_yards]]=0, "Declined", "Accepted")</f>
        <v>Accepted</v>
      </c>
    </row>
    <row r="760" spans="1:13" x14ac:dyDescent="0.25">
      <c r="A760" s="1" t="s">
        <v>84</v>
      </c>
      <c r="B760" s="1" t="s">
        <v>13</v>
      </c>
      <c r="C760" s="1" t="s">
        <v>120</v>
      </c>
      <c r="D760">
        <v>1</v>
      </c>
      <c r="E760">
        <v>6</v>
      </c>
      <c r="F760">
        <v>6</v>
      </c>
      <c r="J760" s="1" t="s">
        <v>115</v>
      </c>
      <c r="K760">
        <v>1</v>
      </c>
      <c r="L760">
        <v>0</v>
      </c>
      <c r="M760" t="str">
        <f>IF(tblPenalties[[#This Row],[total_yards]]=0, "Declined", "Accepted")</f>
        <v>Accepted</v>
      </c>
    </row>
    <row r="761" spans="1:13" x14ac:dyDescent="0.25">
      <c r="A761" s="1" t="s">
        <v>85</v>
      </c>
      <c r="B761" s="1" t="s">
        <v>28</v>
      </c>
      <c r="C761" s="1" t="s">
        <v>114</v>
      </c>
      <c r="D761">
        <v>9</v>
      </c>
      <c r="E761">
        <v>105</v>
      </c>
      <c r="F761">
        <v>11.67</v>
      </c>
      <c r="J761" s="1" t="s">
        <v>115</v>
      </c>
      <c r="K761">
        <v>1</v>
      </c>
      <c r="L761">
        <v>0</v>
      </c>
      <c r="M761" t="str">
        <f>IF(tblPenalties[[#This Row],[total_yards]]=0, "Declined", "Accepted")</f>
        <v>Accepted</v>
      </c>
    </row>
    <row r="762" spans="1:13" x14ac:dyDescent="0.25">
      <c r="A762" s="1" t="s">
        <v>149</v>
      </c>
      <c r="B762" s="1" t="s">
        <v>26</v>
      </c>
      <c r="C762" s="1" t="s">
        <v>114</v>
      </c>
      <c r="D762">
        <v>4</v>
      </c>
      <c r="E762">
        <v>31</v>
      </c>
      <c r="F762">
        <v>7.75</v>
      </c>
      <c r="J762" s="1" t="s">
        <v>115</v>
      </c>
      <c r="K762">
        <v>1</v>
      </c>
      <c r="L762">
        <v>0</v>
      </c>
      <c r="M762" t="str">
        <f>IF(tblPenalties[[#This Row],[total_yards]]=0, "Declined", "Accepted")</f>
        <v>Accepted</v>
      </c>
    </row>
    <row r="763" spans="1:13" x14ac:dyDescent="0.25">
      <c r="A763" s="1" t="s">
        <v>149</v>
      </c>
      <c r="B763" s="1" t="s">
        <v>26</v>
      </c>
      <c r="C763" s="1" t="s">
        <v>152</v>
      </c>
      <c r="D763">
        <v>2</v>
      </c>
      <c r="E763">
        <v>52</v>
      </c>
      <c r="F763">
        <v>26</v>
      </c>
      <c r="J763" s="1" t="s">
        <v>115</v>
      </c>
      <c r="K763">
        <v>1</v>
      </c>
      <c r="L763">
        <v>0</v>
      </c>
      <c r="M763" t="str">
        <f>IF(tblPenalties[[#This Row],[total_yards]]=0, "Declined", "Accepted")</f>
        <v>Accepted</v>
      </c>
    </row>
    <row r="764" spans="1:13" x14ac:dyDescent="0.25">
      <c r="A764" s="1" t="s">
        <v>89</v>
      </c>
      <c r="B764" s="1" t="s">
        <v>13</v>
      </c>
      <c r="C764" s="1" t="s">
        <v>128</v>
      </c>
      <c r="D764">
        <v>4</v>
      </c>
      <c r="E764">
        <v>15</v>
      </c>
      <c r="F764">
        <v>3.75</v>
      </c>
      <c r="J764" s="1" t="s">
        <v>115</v>
      </c>
      <c r="K764">
        <v>1</v>
      </c>
      <c r="L764">
        <v>0</v>
      </c>
      <c r="M764" t="str">
        <f>IF(tblPenalties[[#This Row],[total_yards]]=0, "Declined", "Accepted")</f>
        <v>Accepted</v>
      </c>
    </row>
    <row r="765" spans="1:13" x14ac:dyDescent="0.25">
      <c r="A765" s="1" t="s">
        <v>141</v>
      </c>
      <c r="B765" s="1" t="s">
        <v>28</v>
      </c>
      <c r="C765" s="1" t="s">
        <v>114</v>
      </c>
      <c r="D765">
        <v>3</v>
      </c>
      <c r="E765">
        <v>38</v>
      </c>
      <c r="F765">
        <v>12.67</v>
      </c>
      <c r="J765" s="1" t="s">
        <v>115</v>
      </c>
      <c r="K765">
        <v>1</v>
      </c>
      <c r="L765">
        <v>0</v>
      </c>
      <c r="M765" t="str">
        <f>IF(tblPenalties[[#This Row],[total_yards]]=0, "Declined", "Accepted")</f>
        <v>Accepted</v>
      </c>
    </row>
    <row r="766" spans="1:13" x14ac:dyDescent="0.25">
      <c r="A766" s="1" t="s">
        <v>90</v>
      </c>
      <c r="B766" s="1" t="s">
        <v>28</v>
      </c>
      <c r="C766" s="1" t="s">
        <v>128</v>
      </c>
      <c r="D766">
        <v>3</v>
      </c>
      <c r="E766">
        <v>30</v>
      </c>
      <c r="F766">
        <v>10</v>
      </c>
      <c r="J766" s="1" t="s">
        <v>115</v>
      </c>
      <c r="K766">
        <v>1</v>
      </c>
      <c r="L766">
        <v>0</v>
      </c>
      <c r="M766" t="str">
        <f>IF(tblPenalties[[#This Row],[total_yards]]=0, "Declined", "Accepted")</f>
        <v>Accepted</v>
      </c>
    </row>
    <row r="767" spans="1:13" x14ac:dyDescent="0.25">
      <c r="A767" s="1" t="s">
        <v>91</v>
      </c>
      <c r="B767" s="1" t="s">
        <v>17</v>
      </c>
      <c r="C767" s="1" t="s">
        <v>114</v>
      </c>
      <c r="D767">
        <v>2</v>
      </c>
      <c r="E767">
        <v>15</v>
      </c>
      <c r="F767">
        <v>7.5</v>
      </c>
      <c r="J767" s="1" t="s">
        <v>115</v>
      </c>
      <c r="K767">
        <v>1</v>
      </c>
      <c r="L767">
        <v>0</v>
      </c>
      <c r="M767" t="str">
        <f>IF(tblPenalties[[#This Row],[total_yards]]=0, "Declined", "Accepted")</f>
        <v>Accepted</v>
      </c>
    </row>
    <row r="768" spans="1:13" x14ac:dyDescent="0.25">
      <c r="A768" s="1" t="s">
        <v>131</v>
      </c>
      <c r="B768" s="1" t="s">
        <v>13</v>
      </c>
      <c r="C768" s="1" t="s">
        <v>128</v>
      </c>
      <c r="D768">
        <v>1</v>
      </c>
      <c r="E768">
        <v>6</v>
      </c>
      <c r="F768">
        <v>6</v>
      </c>
      <c r="J768" s="1" t="s">
        <v>115</v>
      </c>
      <c r="K768">
        <v>1</v>
      </c>
      <c r="L768">
        <v>0</v>
      </c>
      <c r="M768" t="str">
        <f>IF(tblPenalties[[#This Row],[total_yards]]=0, "Declined", "Accepted")</f>
        <v>Accepted</v>
      </c>
    </row>
    <row r="769" spans="1:13" x14ac:dyDescent="0.25">
      <c r="A769" s="1" t="s">
        <v>94</v>
      </c>
      <c r="B769" s="1" t="s">
        <v>13</v>
      </c>
      <c r="C769" s="1" t="s">
        <v>128</v>
      </c>
      <c r="D769">
        <v>3</v>
      </c>
      <c r="E769">
        <v>30</v>
      </c>
      <c r="F769">
        <v>10</v>
      </c>
      <c r="J769" s="1" t="s">
        <v>115</v>
      </c>
      <c r="K769">
        <v>1</v>
      </c>
      <c r="L769">
        <v>0</v>
      </c>
      <c r="M769" t="str">
        <f>IF(tblPenalties[[#This Row],[total_yards]]=0, "Declined", "Accepted")</f>
        <v>Accepted</v>
      </c>
    </row>
    <row r="770" spans="1:13" x14ac:dyDescent="0.25">
      <c r="A770" s="1" t="s">
        <v>95</v>
      </c>
      <c r="B770" s="1" t="s">
        <v>34</v>
      </c>
      <c r="C770" s="1" t="s">
        <v>128</v>
      </c>
      <c r="D770">
        <v>2</v>
      </c>
      <c r="E770">
        <v>15</v>
      </c>
      <c r="F770">
        <v>7.5</v>
      </c>
      <c r="J770" s="1" t="s">
        <v>115</v>
      </c>
      <c r="K770">
        <v>1</v>
      </c>
      <c r="L770">
        <v>0</v>
      </c>
      <c r="M770" t="str">
        <f>IF(tblPenalties[[#This Row],[total_yards]]=0, "Declined", "Accepted")</f>
        <v>Accepted</v>
      </c>
    </row>
    <row r="771" spans="1:13" x14ac:dyDescent="0.25">
      <c r="A771" s="1" t="s">
        <v>95</v>
      </c>
      <c r="B771" s="1" t="s">
        <v>34</v>
      </c>
      <c r="C771" s="1" t="s">
        <v>152</v>
      </c>
      <c r="D771">
        <v>1</v>
      </c>
      <c r="E771">
        <v>41</v>
      </c>
      <c r="F771">
        <v>41</v>
      </c>
      <c r="J771" s="1" t="s">
        <v>115</v>
      </c>
      <c r="K771">
        <v>1</v>
      </c>
      <c r="L771">
        <v>0</v>
      </c>
      <c r="M771" t="str">
        <f>IF(tblPenalties[[#This Row],[total_yards]]=0, "Declined", "Accepted")</f>
        <v>Accepted</v>
      </c>
    </row>
    <row r="772" spans="1:13" x14ac:dyDescent="0.25">
      <c r="A772" s="1" t="s">
        <v>96</v>
      </c>
      <c r="B772" s="1" t="s">
        <v>34</v>
      </c>
      <c r="C772" s="1" t="s">
        <v>128</v>
      </c>
      <c r="D772">
        <v>2</v>
      </c>
      <c r="E772">
        <v>58</v>
      </c>
      <c r="F772">
        <v>29</v>
      </c>
      <c r="J772" s="1" t="s">
        <v>115</v>
      </c>
      <c r="K772">
        <v>1</v>
      </c>
      <c r="L772">
        <v>0</v>
      </c>
      <c r="M772" t="str">
        <f>IF(tblPenalties[[#This Row],[total_yards]]=0, "Declined", "Accepted")</f>
        <v>Accepted</v>
      </c>
    </row>
    <row r="773" spans="1:13" x14ac:dyDescent="0.25">
      <c r="A773" s="1" t="s">
        <v>97</v>
      </c>
      <c r="B773" s="1" t="s">
        <v>34</v>
      </c>
      <c r="C773" s="1" t="s">
        <v>114</v>
      </c>
      <c r="D773">
        <v>1</v>
      </c>
      <c r="E773">
        <v>65</v>
      </c>
      <c r="F773">
        <v>65</v>
      </c>
      <c r="J773" s="1" t="s">
        <v>115</v>
      </c>
      <c r="K773">
        <v>1</v>
      </c>
      <c r="L773">
        <v>0</v>
      </c>
      <c r="M773" t="str">
        <f>IF(tblPenalties[[#This Row],[total_yards]]=0, "Declined", "Accepted")</f>
        <v>Accepted</v>
      </c>
    </row>
    <row r="774" spans="1:13" x14ac:dyDescent="0.25">
      <c r="A774" s="1" t="s">
        <v>98</v>
      </c>
      <c r="B774" s="1" t="s">
        <v>17</v>
      </c>
      <c r="C774" s="1" t="s">
        <v>120</v>
      </c>
      <c r="D774">
        <v>2</v>
      </c>
      <c r="E774">
        <v>14</v>
      </c>
      <c r="F774">
        <v>7</v>
      </c>
      <c r="J774" s="1" t="s">
        <v>115</v>
      </c>
      <c r="K774">
        <v>1</v>
      </c>
      <c r="L774">
        <v>0</v>
      </c>
      <c r="M774" t="str">
        <f>IF(tblPenalties[[#This Row],[total_yards]]=0, "Declined", "Accepted")</f>
        <v>Accepted</v>
      </c>
    </row>
    <row r="775" spans="1:13" x14ac:dyDescent="0.25">
      <c r="A775" s="1" t="s">
        <v>142</v>
      </c>
      <c r="B775" s="1" t="s">
        <v>52</v>
      </c>
      <c r="C775" s="1" t="s">
        <v>114</v>
      </c>
      <c r="D775">
        <v>6</v>
      </c>
      <c r="E775">
        <v>53</v>
      </c>
      <c r="F775">
        <v>8.83</v>
      </c>
      <c r="J775" s="1" t="s">
        <v>115</v>
      </c>
      <c r="K775">
        <v>1</v>
      </c>
      <c r="L775">
        <v>0</v>
      </c>
      <c r="M775" t="str">
        <f>IF(tblPenalties[[#This Row],[total_yards]]=0, "Declined", "Accepted")</f>
        <v>Accepted</v>
      </c>
    </row>
    <row r="776" spans="1:13" x14ac:dyDescent="0.25">
      <c r="A776" s="1" t="s">
        <v>99</v>
      </c>
      <c r="B776" s="1" t="s">
        <v>100</v>
      </c>
      <c r="C776" s="1" t="s">
        <v>114</v>
      </c>
      <c r="D776">
        <v>4</v>
      </c>
      <c r="E776">
        <v>131</v>
      </c>
      <c r="F776">
        <v>32.75</v>
      </c>
      <c r="J776" s="1" t="s">
        <v>115</v>
      </c>
      <c r="K776">
        <v>1</v>
      </c>
      <c r="L776">
        <v>0</v>
      </c>
      <c r="M776" t="str">
        <f>IF(tblPenalties[[#This Row],[total_yards]]=0, "Declined", "Accepted")</f>
        <v>Accepted</v>
      </c>
    </row>
    <row r="777" spans="1:13" x14ac:dyDescent="0.25">
      <c r="A777" s="1" t="s">
        <v>99</v>
      </c>
      <c r="B777" s="1" t="s">
        <v>100</v>
      </c>
      <c r="C777" s="1" t="s">
        <v>128</v>
      </c>
      <c r="D777">
        <v>3</v>
      </c>
      <c r="E777">
        <v>22</v>
      </c>
      <c r="F777">
        <v>7.33</v>
      </c>
      <c r="J777" s="1" t="s">
        <v>115</v>
      </c>
      <c r="K777">
        <v>1</v>
      </c>
      <c r="L777">
        <v>0</v>
      </c>
      <c r="M777" t="str">
        <f>IF(tblPenalties[[#This Row],[total_yards]]=0, "Declined", "Accepted")</f>
        <v>Accepted</v>
      </c>
    </row>
    <row r="778" spans="1:13" x14ac:dyDescent="0.25">
      <c r="A778" s="1" t="s">
        <v>151</v>
      </c>
      <c r="B778" s="1" t="s">
        <v>13</v>
      </c>
      <c r="C778" s="1" t="s">
        <v>114</v>
      </c>
      <c r="D778">
        <v>3</v>
      </c>
      <c r="E778">
        <v>17</v>
      </c>
      <c r="F778">
        <v>5.67</v>
      </c>
      <c r="J778" s="1" t="s">
        <v>115</v>
      </c>
      <c r="K778">
        <v>1</v>
      </c>
      <c r="L778">
        <v>0</v>
      </c>
      <c r="M778" t="str">
        <f>IF(tblPenalties[[#This Row],[total_yards]]=0, "Declined", "Accepted")</f>
        <v>Accepted</v>
      </c>
    </row>
    <row r="779" spans="1:13" x14ac:dyDescent="0.25">
      <c r="A779" s="1" t="s">
        <v>151</v>
      </c>
      <c r="B779" s="1" t="s">
        <v>13</v>
      </c>
      <c r="C779" s="1" t="s">
        <v>120</v>
      </c>
      <c r="D779">
        <v>1</v>
      </c>
      <c r="E779">
        <v>34</v>
      </c>
      <c r="F779">
        <v>34</v>
      </c>
      <c r="J779" s="1" t="s">
        <v>115</v>
      </c>
      <c r="K779">
        <v>1</v>
      </c>
      <c r="L779">
        <v>0</v>
      </c>
      <c r="M779" t="str">
        <f>IF(tblPenalties[[#This Row],[total_yards]]=0, "Declined", "Accepted")</f>
        <v>Accepted</v>
      </c>
    </row>
    <row r="780" spans="1:13" x14ac:dyDescent="0.25">
      <c r="A780" s="1" t="s">
        <v>101</v>
      </c>
      <c r="B780" s="1" t="s">
        <v>21</v>
      </c>
      <c r="C780" s="1" t="s">
        <v>114</v>
      </c>
      <c r="D780">
        <v>2</v>
      </c>
      <c r="E780">
        <v>7</v>
      </c>
      <c r="F780">
        <v>3.5</v>
      </c>
      <c r="J780" s="1" t="s">
        <v>115</v>
      </c>
      <c r="K780">
        <v>1</v>
      </c>
      <c r="L780">
        <v>0</v>
      </c>
      <c r="M780" t="str">
        <f>IF(tblPenalties[[#This Row],[total_yards]]=0, "Declined", "Accepted")</f>
        <v>Accepted</v>
      </c>
    </row>
    <row r="781" spans="1:13" x14ac:dyDescent="0.25">
      <c r="A781" s="1" t="s">
        <v>101</v>
      </c>
      <c r="B781" s="1" t="s">
        <v>21</v>
      </c>
      <c r="C781" s="1" t="s">
        <v>128</v>
      </c>
      <c r="D781">
        <v>1</v>
      </c>
      <c r="E781">
        <v>18</v>
      </c>
      <c r="F781">
        <v>18</v>
      </c>
      <c r="J781" s="1" t="s">
        <v>115</v>
      </c>
      <c r="K781">
        <v>1</v>
      </c>
      <c r="L781">
        <v>0</v>
      </c>
      <c r="M781" t="str">
        <f>IF(tblPenalties[[#This Row],[total_yards]]=0, "Declined", "Accepted")</f>
        <v>Accepted</v>
      </c>
    </row>
    <row r="782" spans="1:13" x14ac:dyDescent="0.25">
      <c r="A782" s="1" t="s">
        <v>102</v>
      </c>
      <c r="B782" s="1" t="s">
        <v>26</v>
      </c>
      <c r="C782" s="1" t="s">
        <v>114</v>
      </c>
      <c r="D782">
        <v>3</v>
      </c>
      <c r="E782">
        <v>31</v>
      </c>
      <c r="F782">
        <v>10.33</v>
      </c>
      <c r="J782" s="1" t="s">
        <v>115</v>
      </c>
      <c r="K782">
        <v>1</v>
      </c>
      <c r="L782">
        <v>0</v>
      </c>
      <c r="M782" t="str">
        <f>IF(tblPenalties[[#This Row],[total_yards]]=0, "Declined", "Accepted")</f>
        <v>Accepted</v>
      </c>
    </row>
    <row r="783" spans="1:13" x14ac:dyDescent="0.25">
      <c r="A783" s="1" t="s">
        <v>103</v>
      </c>
      <c r="B783" s="1" t="s">
        <v>34</v>
      </c>
      <c r="C783" s="1" t="s">
        <v>114</v>
      </c>
      <c r="D783">
        <v>4</v>
      </c>
      <c r="E783">
        <v>45</v>
      </c>
      <c r="F783">
        <v>11.25</v>
      </c>
      <c r="J783" s="1" t="s">
        <v>115</v>
      </c>
      <c r="K783">
        <v>1</v>
      </c>
      <c r="L783">
        <v>0</v>
      </c>
      <c r="M783" t="str">
        <f>IF(tblPenalties[[#This Row],[total_yards]]=0, "Declined", "Accepted")</f>
        <v>Accepted</v>
      </c>
    </row>
    <row r="784" spans="1:13" x14ac:dyDescent="0.25">
      <c r="A784" s="1" t="s">
        <v>143</v>
      </c>
      <c r="B784" s="1" t="s">
        <v>40</v>
      </c>
      <c r="C784" s="1" t="s">
        <v>114</v>
      </c>
      <c r="D784">
        <v>5</v>
      </c>
      <c r="E784">
        <v>71</v>
      </c>
      <c r="F784">
        <v>14.2</v>
      </c>
      <c r="J784" s="1" t="s">
        <v>115</v>
      </c>
      <c r="K784">
        <v>1</v>
      </c>
      <c r="L784">
        <v>0</v>
      </c>
      <c r="M784" t="str">
        <f>IF(tblPenalties[[#This Row],[total_yards]]=0, "Declined", "Accepted")</f>
        <v>Accepted</v>
      </c>
    </row>
    <row r="785" spans="1:13" x14ac:dyDescent="0.25">
      <c r="A785" s="1" t="s">
        <v>143</v>
      </c>
      <c r="B785" s="1" t="s">
        <v>40</v>
      </c>
      <c r="C785" s="1" t="s">
        <v>128</v>
      </c>
      <c r="D785">
        <v>1</v>
      </c>
      <c r="E785">
        <v>14</v>
      </c>
      <c r="F785">
        <v>14</v>
      </c>
      <c r="J785" s="1" t="s">
        <v>115</v>
      </c>
      <c r="K785">
        <v>1</v>
      </c>
      <c r="L785">
        <v>0</v>
      </c>
      <c r="M785" t="str">
        <f>IF(tblPenalties[[#This Row],[total_yards]]=0, "Declined", "Accepted")</f>
        <v>Accepted</v>
      </c>
    </row>
    <row r="786" spans="1:13" x14ac:dyDescent="0.25">
      <c r="A786" s="1" t="s">
        <v>104</v>
      </c>
      <c r="B786" s="1" t="s">
        <v>34</v>
      </c>
      <c r="C786" s="1" t="s">
        <v>114</v>
      </c>
      <c r="D786">
        <v>2</v>
      </c>
      <c r="E786">
        <v>14</v>
      </c>
      <c r="F786">
        <v>7</v>
      </c>
      <c r="J786" s="1" t="s">
        <v>115</v>
      </c>
      <c r="K786">
        <v>1</v>
      </c>
      <c r="L786">
        <v>0</v>
      </c>
      <c r="M786" t="str">
        <f>IF(tblPenalties[[#This Row],[total_yards]]=0, "Declined", "Accepted")</f>
        <v>Accepted</v>
      </c>
    </row>
    <row r="787" spans="1:13" x14ac:dyDescent="0.25">
      <c r="A787" s="1" t="s">
        <v>105</v>
      </c>
      <c r="B787" s="1" t="s">
        <v>26</v>
      </c>
      <c r="C787" s="1" t="s">
        <v>125</v>
      </c>
      <c r="D787">
        <v>2</v>
      </c>
      <c r="E787">
        <v>15</v>
      </c>
      <c r="F787">
        <v>7.5</v>
      </c>
      <c r="J787" s="1" t="s">
        <v>115</v>
      </c>
      <c r="K787">
        <v>1</v>
      </c>
      <c r="L787">
        <v>0</v>
      </c>
      <c r="M787" t="str">
        <f>IF(tblPenalties[[#This Row],[total_yards]]=0, "Declined", "Accepted")</f>
        <v>Accepted</v>
      </c>
    </row>
    <row r="788" spans="1:13" x14ac:dyDescent="0.25">
      <c r="A788" s="1" t="s">
        <v>105</v>
      </c>
      <c r="B788" s="1" t="s">
        <v>26</v>
      </c>
      <c r="C788" s="1" t="s">
        <v>152</v>
      </c>
      <c r="D788">
        <v>1</v>
      </c>
      <c r="E788">
        <v>36</v>
      </c>
      <c r="F788">
        <v>36</v>
      </c>
      <c r="J788" s="1" t="s">
        <v>115</v>
      </c>
      <c r="K788">
        <v>1</v>
      </c>
      <c r="L788">
        <v>0</v>
      </c>
      <c r="M788" t="str">
        <f>IF(tblPenalties[[#This Row],[total_yards]]=0, "Declined", "Accepted")</f>
        <v>Accepted</v>
      </c>
    </row>
    <row r="789" spans="1:13" x14ac:dyDescent="0.25">
      <c r="A789" s="1" t="s">
        <v>105</v>
      </c>
      <c r="B789" s="1" t="s">
        <v>26</v>
      </c>
      <c r="C789" s="1" t="s">
        <v>114</v>
      </c>
      <c r="D789">
        <v>1</v>
      </c>
      <c r="E789">
        <v>39</v>
      </c>
      <c r="F789">
        <v>39</v>
      </c>
      <c r="J789" s="1" t="s">
        <v>115</v>
      </c>
      <c r="K789">
        <v>1</v>
      </c>
      <c r="L789">
        <v>0</v>
      </c>
      <c r="M789" t="str">
        <f>IF(tblPenalties[[#This Row],[total_yards]]=0, "Declined", "Accepted")</f>
        <v>Accepted</v>
      </c>
    </row>
    <row r="790" spans="1:13" x14ac:dyDescent="0.25">
      <c r="A790" s="1" t="s">
        <v>107</v>
      </c>
      <c r="B790" s="1" t="s">
        <v>21</v>
      </c>
      <c r="C790" s="1" t="s">
        <v>114</v>
      </c>
      <c r="D790">
        <v>4</v>
      </c>
      <c r="E790">
        <v>7</v>
      </c>
      <c r="F790">
        <v>1.75</v>
      </c>
      <c r="J790" s="1" t="s">
        <v>115</v>
      </c>
      <c r="K790">
        <v>1</v>
      </c>
      <c r="L790">
        <v>0</v>
      </c>
      <c r="M790" t="str">
        <f>IF(tblPenalties[[#This Row],[total_yards]]=0, "Declined", "Accepted")</f>
        <v>Accepted</v>
      </c>
    </row>
    <row r="791" spans="1:13" x14ac:dyDescent="0.25">
      <c r="A791" s="1" t="s">
        <v>132</v>
      </c>
      <c r="B791" s="1" t="s">
        <v>40</v>
      </c>
      <c r="C791" s="1" t="s">
        <v>120</v>
      </c>
      <c r="D791">
        <v>1</v>
      </c>
      <c r="E791">
        <v>11</v>
      </c>
      <c r="F791">
        <v>11</v>
      </c>
      <c r="J791" s="1" t="s">
        <v>115</v>
      </c>
      <c r="K791">
        <v>1</v>
      </c>
      <c r="L791">
        <v>0</v>
      </c>
      <c r="M791" t="str">
        <f>IF(tblPenalties[[#This Row],[total_yards]]=0, "Declined", "Accepted")</f>
        <v>Accepted</v>
      </c>
    </row>
    <row r="792" spans="1:13" x14ac:dyDescent="0.25">
      <c r="A792" s="1" t="s">
        <v>108</v>
      </c>
      <c r="B792" s="1" t="s">
        <v>28</v>
      </c>
      <c r="C792" s="1" t="s">
        <v>114</v>
      </c>
      <c r="D792">
        <v>5</v>
      </c>
      <c r="E792">
        <v>103</v>
      </c>
      <c r="F792">
        <v>20.6</v>
      </c>
      <c r="J792" s="1" t="s">
        <v>115</v>
      </c>
      <c r="K792">
        <v>1</v>
      </c>
      <c r="L792">
        <v>0</v>
      </c>
      <c r="M792" t="str">
        <f>IF(tblPenalties[[#This Row],[total_yards]]=0, "Declined", "Accepted")</f>
        <v>Accepted</v>
      </c>
    </row>
    <row r="793" spans="1:13" x14ac:dyDescent="0.25">
      <c r="A793" s="1" t="s">
        <v>133</v>
      </c>
      <c r="B793" s="1" t="s">
        <v>52</v>
      </c>
      <c r="C793" s="1" t="s">
        <v>114</v>
      </c>
      <c r="D793">
        <v>4</v>
      </c>
      <c r="E793">
        <v>23</v>
      </c>
      <c r="F793">
        <v>5.75</v>
      </c>
      <c r="J793" s="1" t="s">
        <v>115</v>
      </c>
      <c r="K793">
        <v>1</v>
      </c>
      <c r="L793">
        <v>0</v>
      </c>
      <c r="M793" t="str">
        <f>IF(tblPenalties[[#This Row],[total_yards]]=0, "Declined", "Accepted")</f>
        <v>Accepted</v>
      </c>
    </row>
    <row r="794" spans="1:13" x14ac:dyDescent="0.25">
      <c r="A794" s="1" t="s">
        <v>133</v>
      </c>
      <c r="B794" s="1" t="s">
        <v>52</v>
      </c>
      <c r="C794" s="1" t="s">
        <v>120</v>
      </c>
      <c r="D794">
        <v>1</v>
      </c>
      <c r="E794">
        <v>3</v>
      </c>
      <c r="F794">
        <v>3</v>
      </c>
      <c r="J794" s="1" t="s">
        <v>115</v>
      </c>
      <c r="K794">
        <v>1</v>
      </c>
      <c r="L794">
        <v>0</v>
      </c>
      <c r="M794" t="str">
        <f>IF(tblPenalties[[#This Row],[total_yards]]=0, "Declined", "Accepted")</f>
        <v>Accepted</v>
      </c>
    </row>
    <row r="795" spans="1:13" x14ac:dyDescent="0.25">
      <c r="A795" s="1" t="s">
        <v>144</v>
      </c>
      <c r="B795" s="1" t="s">
        <v>26</v>
      </c>
      <c r="C795" s="1" t="s">
        <v>114</v>
      </c>
      <c r="D795">
        <v>2</v>
      </c>
      <c r="E795">
        <v>25</v>
      </c>
      <c r="F795">
        <v>12.5</v>
      </c>
      <c r="J795" s="1" t="s">
        <v>115</v>
      </c>
      <c r="K795">
        <v>1</v>
      </c>
      <c r="L795">
        <v>0</v>
      </c>
      <c r="M795" t="str">
        <f>IF(tblPenalties[[#This Row],[total_yards]]=0, "Declined", "Accepted")</f>
        <v>Accepted</v>
      </c>
    </row>
    <row r="796" spans="1:13" x14ac:dyDescent="0.25">
      <c r="A796" s="1" t="s">
        <v>144</v>
      </c>
      <c r="B796" s="1" t="s">
        <v>26</v>
      </c>
      <c r="C796" s="1" t="s">
        <v>128</v>
      </c>
      <c r="D796">
        <v>1</v>
      </c>
      <c r="E796">
        <v>1</v>
      </c>
      <c r="F796">
        <v>1</v>
      </c>
      <c r="J796" s="1" t="s">
        <v>115</v>
      </c>
      <c r="K796">
        <v>1</v>
      </c>
      <c r="L796">
        <v>0</v>
      </c>
      <c r="M796" t="str">
        <f>IF(tblPenalties[[#This Row],[total_yards]]=0, "Declined", "Accepted")</f>
        <v>Accepted</v>
      </c>
    </row>
    <row r="797" spans="1:13" x14ac:dyDescent="0.25">
      <c r="A797" s="1" t="s">
        <v>134</v>
      </c>
      <c r="B797" s="1" t="s">
        <v>26</v>
      </c>
      <c r="C797" s="1" t="s">
        <v>115</v>
      </c>
      <c r="D797">
        <v>1</v>
      </c>
      <c r="E797">
        <v>1</v>
      </c>
      <c r="F797">
        <v>1</v>
      </c>
      <c r="J797" s="1" t="s">
        <v>115</v>
      </c>
      <c r="K797">
        <v>1</v>
      </c>
      <c r="L797">
        <v>0</v>
      </c>
      <c r="M797" t="str">
        <f>IF(tblPenalties[[#This Row],[total_yards]]=0, "Declined", "Accepted")</f>
        <v>Accepted</v>
      </c>
    </row>
    <row r="798" spans="1:13" x14ac:dyDescent="0.25">
      <c r="A798" s="1" t="s">
        <v>145</v>
      </c>
      <c r="B798" s="1" t="s">
        <v>21</v>
      </c>
      <c r="C798" s="1" t="s">
        <v>115</v>
      </c>
      <c r="D798">
        <v>7</v>
      </c>
      <c r="E798">
        <v>90</v>
      </c>
      <c r="F798">
        <v>12.86</v>
      </c>
      <c r="J798" s="1" t="s">
        <v>115</v>
      </c>
      <c r="K798">
        <v>1</v>
      </c>
      <c r="L798">
        <v>0</v>
      </c>
      <c r="M798" t="str">
        <f>IF(tblPenalties[[#This Row],[total_yards]]=0, "Declined", "Accepted")</f>
        <v>Accepted</v>
      </c>
    </row>
    <row r="799" spans="1:13" x14ac:dyDescent="0.25">
      <c r="A799" s="1" t="s">
        <v>135</v>
      </c>
      <c r="B799" s="1" t="s">
        <v>17</v>
      </c>
      <c r="C799" s="1" t="s">
        <v>115</v>
      </c>
      <c r="D799">
        <v>4</v>
      </c>
      <c r="E799">
        <v>30</v>
      </c>
      <c r="F799">
        <v>7.5</v>
      </c>
      <c r="J799" s="1" t="s">
        <v>115</v>
      </c>
      <c r="K799">
        <v>1</v>
      </c>
      <c r="L799">
        <v>0</v>
      </c>
      <c r="M799" t="str">
        <f>IF(tblPenalties[[#This Row],[total_yards]]=0, "Declined", "Accepted")</f>
        <v>Accepted</v>
      </c>
    </row>
    <row r="800" spans="1:13" x14ac:dyDescent="0.25">
      <c r="A800" s="1" t="s">
        <v>18</v>
      </c>
      <c r="B800" s="1" t="s">
        <v>19</v>
      </c>
      <c r="C800" s="1" t="s">
        <v>115</v>
      </c>
      <c r="D800">
        <v>5</v>
      </c>
      <c r="E800">
        <v>131</v>
      </c>
      <c r="F800">
        <v>26.2</v>
      </c>
      <c r="J800" s="1" t="s">
        <v>115</v>
      </c>
      <c r="K800">
        <v>1</v>
      </c>
      <c r="L800">
        <v>0</v>
      </c>
      <c r="M800" t="str">
        <f>IF(tblPenalties[[#This Row],[total_yards]]=0, "Declined", "Accepted")</f>
        <v>Accepted</v>
      </c>
    </row>
    <row r="801" spans="1:13" x14ac:dyDescent="0.25">
      <c r="A801" s="1" t="s">
        <v>124</v>
      </c>
      <c r="B801" s="1" t="s">
        <v>13</v>
      </c>
      <c r="C801" s="1" t="s">
        <v>115</v>
      </c>
      <c r="D801">
        <v>7</v>
      </c>
      <c r="E801">
        <v>51</v>
      </c>
      <c r="F801">
        <v>7.29</v>
      </c>
      <c r="J801" s="1" t="s">
        <v>115</v>
      </c>
      <c r="K801">
        <v>1</v>
      </c>
      <c r="L801">
        <v>0</v>
      </c>
      <c r="M801" t="str">
        <f>IF(tblPenalties[[#This Row],[total_yards]]=0, "Declined", "Accepted")</f>
        <v>Accepted</v>
      </c>
    </row>
    <row r="802" spans="1:13" x14ac:dyDescent="0.25">
      <c r="A802" s="1" t="s">
        <v>146</v>
      </c>
      <c r="B802" s="1" t="s">
        <v>34</v>
      </c>
      <c r="C802" s="1" t="s">
        <v>115</v>
      </c>
      <c r="D802">
        <v>2</v>
      </c>
      <c r="E802">
        <v>20</v>
      </c>
      <c r="F802">
        <v>10</v>
      </c>
      <c r="J802" s="1" t="s">
        <v>115</v>
      </c>
      <c r="K802">
        <v>1</v>
      </c>
      <c r="L802">
        <v>0</v>
      </c>
      <c r="M802" t="str">
        <f>IF(tblPenalties[[#This Row],[total_yards]]=0, "Declined", "Accepted")</f>
        <v>Accepted</v>
      </c>
    </row>
    <row r="803" spans="1:13" x14ac:dyDescent="0.25">
      <c r="A803" s="1" t="s">
        <v>20</v>
      </c>
      <c r="B803" s="1" t="s">
        <v>21</v>
      </c>
      <c r="C803" s="1" t="s">
        <v>115</v>
      </c>
      <c r="D803">
        <v>7</v>
      </c>
      <c r="E803">
        <v>22</v>
      </c>
      <c r="F803">
        <v>3.14</v>
      </c>
      <c r="J803" s="1" t="s">
        <v>115</v>
      </c>
      <c r="K803">
        <v>1</v>
      </c>
      <c r="L803">
        <v>0</v>
      </c>
      <c r="M803" t="str">
        <f>IF(tblPenalties[[#This Row],[total_yards]]=0, "Declined", "Accepted")</f>
        <v>Accepted</v>
      </c>
    </row>
    <row r="804" spans="1:13" x14ac:dyDescent="0.25">
      <c r="A804" s="1" t="s">
        <v>24</v>
      </c>
      <c r="B804" s="1" t="s">
        <v>17</v>
      </c>
      <c r="C804" s="1" t="s">
        <v>115</v>
      </c>
      <c r="D804">
        <v>2</v>
      </c>
      <c r="E804">
        <v>15</v>
      </c>
      <c r="F804">
        <v>7.5</v>
      </c>
      <c r="J804" s="1" t="s">
        <v>115</v>
      </c>
      <c r="K804">
        <v>1</v>
      </c>
      <c r="L804">
        <v>0</v>
      </c>
      <c r="M804" t="str">
        <f>IF(tblPenalties[[#This Row],[total_yards]]=0, "Declined", "Accepted")</f>
        <v>Accepted</v>
      </c>
    </row>
    <row r="805" spans="1:13" x14ac:dyDescent="0.25">
      <c r="A805" s="1" t="s">
        <v>25</v>
      </c>
      <c r="B805" s="1" t="s">
        <v>26</v>
      </c>
      <c r="C805" s="1" t="s">
        <v>115</v>
      </c>
      <c r="D805">
        <v>2</v>
      </c>
      <c r="E805">
        <v>8</v>
      </c>
      <c r="F805">
        <v>4</v>
      </c>
      <c r="J805" s="1" t="s">
        <v>115</v>
      </c>
      <c r="K805">
        <v>1</v>
      </c>
      <c r="L805">
        <v>0</v>
      </c>
      <c r="M805" t="str">
        <f>IF(tblPenalties[[#This Row],[total_yards]]=0, "Declined", "Accepted")</f>
        <v>Accepted</v>
      </c>
    </row>
    <row r="806" spans="1:13" x14ac:dyDescent="0.25">
      <c r="A806" s="1" t="s">
        <v>27</v>
      </c>
      <c r="B806" s="1" t="s">
        <v>28</v>
      </c>
      <c r="C806" s="1" t="s">
        <v>115</v>
      </c>
      <c r="D806">
        <v>6</v>
      </c>
      <c r="E806">
        <v>51</v>
      </c>
      <c r="F806">
        <v>8.5</v>
      </c>
      <c r="J806" s="1" t="s">
        <v>115</v>
      </c>
      <c r="K806">
        <v>1</v>
      </c>
      <c r="L806">
        <v>0</v>
      </c>
      <c r="M806" t="str">
        <f>IF(tblPenalties[[#This Row],[total_yards]]=0, "Declined", "Accepted")</f>
        <v>Accepted</v>
      </c>
    </row>
    <row r="807" spans="1:13" x14ac:dyDescent="0.25">
      <c r="A807" s="1" t="s">
        <v>30</v>
      </c>
      <c r="B807" s="1" t="s">
        <v>21</v>
      </c>
      <c r="C807" s="1" t="s">
        <v>115</v>
      </c>
      <c r="D807">
        <v>1</v>
      </c>
      <c r="E807">
        <v>12</v>
      </c>
      <c r="F807">
        <v>12</v>
      </c>
      <c r="J807" s="1" t="s">
        <v>115</v>
      </c>
      <c r="K807">
        <v>1</v>
      </c>
      <c r="L807">
        <v>0</v>
      </c>
      <c r="M807" t="str">
        <f>IF(tblPenalties[[#This Row],[total_yards]]=0, "Declined", "Accepted")</f>
        <v>Accepted</v>
      </c>
    </row>
    <row r="808" spans="1:13" x14ac:dyDescent="0.25">
      <c r="A808" s="1" t="s">
        <v>136</v>
      </c>
      <c r="B808" s="1" t="s">
        <v>21</v>
      </c>
      <c r="C808" s="1" t="s">
        <v>115</v>
      </c>
      <c r="D808">
        <v>1</v>
      </c>
      <c r="E808">
        <v>1</v>
      </c>
      <c r="F808">
        <v>1</v>
      </c>
      <c r="J808" s="1" t="s">
        <v>115</v>
      </c>
      <c r="K808">
        <v>1</v>
      </c>
      <c r="L808">
        <v>0</v>
      </c>
      <c r="M808" t="str">
        <f>IF(tblPenalties[[#This Row],[total_yards]]=0, "Declined", "Accepted")</f>
        <v>Accepted</v>
      </c>
    </row>
    <row r="809" spans="1:13" x14ac:dyDescent="0.25">
      <c r="A809" s="1" t="s">
        <v>32</v>
      </c>
      <c r="B809" s="1" t="s">
        <v>28</v>
      </c>
      <c r="C809" s="1" t="s">
        <v>115</v>
      </c>
      <c r="D809">
        <v>2</v>
      </c>
      <c r="E809">
        <v>15</v>
      </c>
      <c r="F809">
        <v>7.5</v>
      </c>
      <c r="J809" s="1" t="s">
        <v>115</v>
      </c>
      <c r="K809">
        <v>1</v>
      </c>
      <c r="L809">
        <v>0</v>
      </c>
      <c r="M809" t="str">
        <f>IF(tblPenalties[[#This Row],[total_yards]]=0, "Declined", "Accepted")</f>
        <v>Accepted</v>
      </c>
    </row>
    <row r="810" spans="1:13" x14ac:dyDescent="0.25">
      <c r="A810" s="1" t="s">
        <v>33</v>
      </c>
      <c r="B810" s="1" t="s">
        <v>34</v>
      </c>
      <c r="C810" s="1" t="s">
        <v>115</v>
      </c>
      <c r="D810">
        <v>10</v>
      </c>
      <c r="E810">
        <v>69</v>
      </c>
      <c r="F810">
        <v>6.9</v>
      </c>
      <c r="J810" s="1" t="s">
        <v>115</v>
      </c>
      <c r="K810">
        <v>1</v>
      </c>
      <c r="L810">
        <v>0</v>
      </c>
      <c r="M810" t="str">
        <f>IF(tblPenalties[[#This Row],[total_yards]]=0, "Declined", "Accepted")</f>
        <v>Accepted</v>
      </c>
    </row>
    <row r="811" spans="1:13" x14ac:dyDescent="0.25">
      <c r="A811" s="1" t="s">
        <v>36</v>
      </c>
      <c r="B811" s="1" t="s">
        <v>13</v>
      </c>
      <c r="C811" s="1" t="s">
        <v>115</v>
      </c>
      <c r="D811">
        <v>2</v>
      </c>
      <c r="E811">
        <v>15</v>
      </c>
      <c r="F811">
        <v>7.5</v>
      </c>
      <c r="J811" s="1" t="s">
        <v>115</v>
      </c>
      <c r="K811">
        <v>1</v>
      </c>
      <c r="L811">
        <v>0</v>
      </c>
      <c r="M811" t="str">
        <f>IF(tblPenalties[[#This Row],[total_yards]]=0, "Declined", "Accepted")</f>
        <v>Accepted</v>
      </c>
    </row>
    <row r="812" spans="1:13" x14ac:dyDescent="0.25">
      <c r="A812" s="1" t="s">
        <v>37</v>
      </c>
      <c r="B812" s="1" t="s">
        <v>17</v>
      </c>
      <c r="C812" s="1" t="s">
        <v>115</v>
      </c>
      <c r="D812">
        <v>2</v>
      </c>
      <c r="E812">
        <v>1</v>
      </c>
      <c r="F812">
        <v>0.5</v>
      </c>
      <c r="J812" s="1" t="s">
        <v>115</v>
      </c>
      <c r="K812">
        <v>1</v>
      </c>
      <c r="L812">
        <v>0</v>
      </c>
      <c r="M812" t="str">
        <f>IF(tblPenalties[[#This Row],[total_yards]]=0, "Declined", "Accepted")</f>
        <v>Accepted</v>
      </c>
    </row>
    <row r="813" spans="1:13" x14ac:dyDescent="0.25">
      <c r="A813" s="1" t="s">
        <v>38</v>
      </c>
      <c r="B813" s="1" t="s">
        <v>26</v>
      </c>
      <c r="C813" s="1" t="s">
        <v>115</v>
      </c>
      <c r="D813">
        <v>4</v>
      </c>
      <c r="E813">
        <v>31</v>
      </c>
      <c r="F813">
        <v>7.75</v>
      </c>
      <c r="J813" s="1" t="s">
        <v>115</v>
      </c>
      <c r="K813">
        <v>1</v>
      </c>
      <c r="L813">
        <v>0</v>
      </c>
      <c r="M813" t="str">
        <f>IF(tblPenalties[[#This Row],[total_yards]]=0, "Declined", "Accepted")</f>
        <v>Accepted</v>
      </c>
    </row>
    <row r="814" spans="1:13" x14ac:dyDescent="0.25">
      <c r="A814" s="1" t="s">
        <v>39</v>
      </c>
      <c r="B814" s="1" t="s">
        <v>40</v>
      </c>
      <c r="C814" s="1" t="s">
        <v>115</v>
      </c>
      <c r="D814">
        <v>1</v>
      </c>
      <c r="E814">
        <v>22</v>
      </c>
      <c r="F814">
        <v>22</v>
      </c>
      <c r="J814" s="1" t="s">
        <v>115</v>
      </c>
      <c r="K814">
        <v>1</v>
      </c>
      <c r="L814">
        <v>0</v>
      </c>
      <c r="M814" t="str">
        <f>IF(tblPenalties[[#This Row],[total_yards]]=0, "Declined", "Accepted")</f>
        <v>Accepted</v>
      </c>
    </row>
    <row r="815" spans="1:13" x14ac:dyDescent="0.25">
      <c r="A815" s="1" t="s">
        <v>137</v>
      </c>
      <c r="B815" s="1" t="s">
        <v>28</v>
      </c>
      <c r="C815" s="1" t="s">
        <v>115</v>
      </c>
      <c r="D815">
        <v>2</v>
      </c>
      <c r="E815">
        <v>32</v>
      </c>
      <c r="F815">
        <v>16</v>
      </c>
      <c r="J815" s="1" t="s">
        <v>115</v>
      </c>
      <c r="K815">
        <v>1</v>
      </c>
      <c r="L815">
        <v>0</v>
      </c>
      <c r="M815" t="str">
        <f>IF(tblPenalties[[#This Row],[total_yards]]=0, "Declined", "Accepted")</f>
        <v>Accepted</v>
      </c>
    </row>
    <row r="816" spans="1:13" x14ac:dyDescent="0.25">
      <c r="A816" s="1" t="s">
        <v>41</v>
      </c>
      <c r="B816" s="1" t="s">
        <v>21</v>
      </c>
      <c r="C816" s="1" t="s">
        <v>115</v>
      </c>
      <c r="D816">
        <v>2</v>
      </c>
      <c r="E816">
        <v>9</v>
      </c>
      <c r="F816">
        <v>4.5</v>
      </c>
      <c r="J816" s="1" t="s">
        <v>115</v>
      </c>
      <c r="K816">
        <v>1</v>
      </c>
      <c r="L816">
        <v>0</v>
      </c>
      <c r="M816" t="str">
        <f>IF(tblPenalties[[#This Row],[total_yards]]=0, "Declined", "Accepted")</f>
        <v>Accepted</v>
      </c>
    </row>
    <row r="817" spans="1:13" x14ac:dyDescent="0.25">
      <c r="A817" s="1" t="s">
        <v>42</v>
      </c>
      <c r="B817" s="1" t="s">
        <v>34</v>
      </c>
      <c r="C817" s="1" t="s">
        <v>115</v>
      </c>
      <c r="D817">
        <v>2</v>
      </c>
      <c r="E817">
        <v>64</v>
      </c>
      <c r="F817">
        <v>32</v>
      </c>
      <c r="J817" s="1" t="s">
        <v>115</v>
      </c>
      <c r="K817">
        <v>1</v>
      </c>
      <c r="L817">
        <v>0</v>
      </c>
      <c r="M817" t="str">
        <f>IF(tblPenalties[[#This Row],[total_yards]]=0, "Declined", "Accepted")</f>
        <v>Accepted</v>
      </c>
    </row>
    <row r="818" spans="1:13" x14ac:dyDescent="0.25">
      <c r="A818" s="1" t="s">
        <v>43</v>
      </c>
      <c r="B818" s="1" t="s">
        <v>40</v>
      </c>
      <c r="C818" s="1" t="s">
        <v>115</v>
      </c>
      <c r="D818">
        <v>6</v>
      </c>
      <c r="E818">
        <v>68</v>
      </c>
      <c r="F818">
        <v>11.33</v>
      </c>
      <c r="J818" s="1" t="s">
        <v>115</v>
      </c>
      <c r="K818">
        <v>1</v>
      </c>
      <c r="L818">
        <v>0</v>
      </c>
      <c r="M818" t="str">
        <f>IF(tblPenalties[[#This Row],[total_yards]]=0, "Declined", "Accepted")</f>
        <v>Accepted</v>
      </c>
    </row>
    <row r="819" spans="1:13" x14ac:dyDescent="0.25">
      <c r="A819" s="1" t="s">
        <v>44</v>
      </c>
      <c r="B819" s="1" t="s">
        <v>19</v>
      </c>
      <c r="C819" s="1" t="s">
        <v>115</v>
      </c>
      <c r="D819">
        <v>6</v>
      </c>
      <c r="E819">
        <v>58</v>
      </c>
      <c r="F819">
        <v>9.67</v>
      </c>
      <c r="J819" s="1" t="s">
        <v>115</v>
      </c>
      <c r="K819">
        <v>1</v>
      </c>
      <c r="L819">
        <v>0</v>
      </c>
      <c r="M819" t="str">
        <f>IF(tblPenalties[[#This Row],[total_yards]]=0, "Declined", "Accepted")</f>
        <v>Accepted</v>
      </c>
    </row>
    <row r="820" spans="1:13" x14ac:dyDescent="0.25">
      <c r="A820" s="1" t="s">
        <v>45</v>
      </c>
      <c r="B820" s="1" t="s">
        <v>28</v>
      </c>
      <c r="C820" s="1" t="s">
        <v>115</v>
      </c>
      <c r="D820">
        <v>12</v>
      </c>
      <c r="E820">
        <v>64</v>
      </c>
      <c r="F820">
        <v>5.33</v>
      </c>
      <c r="J820" s="1" t="s">
        <v>115</v>
      </c>
      <c r="K820">
        <v>1</v>
      </c>
      <c r="L820">
        <v>0</v>
      </c>
      <c r="M820" t="str">
        <f>IF(tblPenalties[[#This Row],[total_yards]]=0, "Declined", "Accepted")</f>
        <v>Accepted</v>
      </c>
    </row>
    <row r="821" spans="1:13" x14ac:dyDescent="0.25">
      <c r="A821" s="1" t="s">
        <v>46</v>
      </c>
      <c r="B821" s="1" t="s">
        <v>26</v>
      </c>
      <c r="C821" s="1" t="s">
        <v>115</v>
      </c>
      <c r="D821">
        <v>3</v>
      </c>
      <c r="E821">
        <v>34</v>
      </c>
      <c r="F821">
        <v>11.33</v>
      </c>
      <c r="J821" s="1" t="s">
        <v>115</v>
      </c>
      <c r="K821">
        <v>1</v>
      </c>
      <c r="L821">
        <v>0</v>
      </c>
      <c r="M821" t="str">
        <f>IF(tblPenalties[[#This Row],[total_yards]]=0, "Declined", "Accepted")</f>
        <v>Accepted</v>
      </c>
    </row>
    <row r="822" spans="1:13" x14ac:dyDescent="0.25">
      <c r="A822" s="1" t="s">
        <v>47</v>
      </c>
      <c r="B822" s="1" t="s">
        <v>13</v>
      </c>
      <c r="C822" s="1" t="s">
        <v>115</v>
      </c>
      <c r="D822">
        <v>2</v>
      </c>
      <c r="E822">
        <v>8</v>
      </c>
      <c r="F822">
        <v>4</v>
      </c>
      <c r="J822" s="1" t="s">
        <v>115</v>
      </c>
      <c r="K822">
        <v>1</v>
      </c>
      <c r="L822">
        <v>0</v>
      </c>
      <c r="M822" t="str">
        <f>IF(tblPenalties[[#This Row],[total_yards]]=0, "Declined", "Accepted")</f>
        <v>Accepted</v>
      </c>
    </row>
    <row r="823" spans="1:13" x14ac:dyDescent="0.25">
      <c r="A823" s="1" t="s">
        <v>147</v>
      </c>
      <c r="B823" s="1" t="s">
        <v>13</v>
      </c>
      <c r="C823" s="1" t="s">
        <v>115</v>
      </c>
      <c r="D823">
        <v>3</v>
      </c>
      <c r="E823">
        <v>19</v>
      </c>
      <c r="F823">
        <v>6.33</v>
      </c>
      <c r="J823" s="1" t="s">
        <v>115</v>
      </c>
      <c r="K823">
        <v>1</v>
      </c>
      <c r="L823">
        <v>0</v>
      </c>
      <c r="M823" t="str">
        <f>IF(tblPenalties[[#This Row],[total_yards]]=0, "Declined", "Accepted")</f>
        <v>Accepted</v>
      </c>
    </row>
    <row r="824" spans="1:13" x14ac:dyDescent="0.25">
      <c r="A824" s="1" t="s">
        <v>48</v>
      </c>
      <c r="B824" s="1" t="s">
        <v>26</v>
      </c>
      <c r="C824" s="1" t="s">
        <v>115</v>
      </c>
      <c r="D824">
        <v>5</v>
      </c>
      <c r="E824">
        <v>9</v>
      </c>
      <c r="F824">
        <v>1.8</v>
      </c>
      <c r="J824" s="1" t="s">
        <v>115</v>
      </c>
      <c r="K824">
        <v>1</v>
      </c>
      <c r="L824">
        <v>0</v>
      </c>
      <c r="M824" t="str">
        <f>IF(tblPenalties[[#This Row],[total_yards]]=0, "Declined", "Accepted")</f>
        <v>Accepted</v>
      </c>
    </row>
    <row r="825" spans="1:13" x14ac:dyDescent="0.25">
      <c r="A825" s="1" t="s">
        <v>51</v>
      </c>
      <c r="B825" s="1" t="s">
        <v>52</v>
      </c>
      <c r="C825" s="1" t="s">
        <v>115</v>
      </c>
      <c r="D825">
        <v>5</v>
      </c>
      <c r="E825">
        <v>28</v>
      </c>
      <c r="F825">
        <v>5.6</v>
      </c>
      <c r="J825" s="1" t="s">
        <v>115</v>
      </c>
      <c r="K825">
        <v>1</v>
      </c>
      <c r="L825">
        <v>0</v>
      </c>
      <c r="M825" t="str">
        <f>IF(tblPenalties[[#This Row],[total_yards]]=0, "Declined", "Accepted")</f>
        <v>Accepted</v>
      </c>
    </row>
    <row r="826" spans="1:13" x14ac:dyDescent="0.25">
      <c r="A826" s="1" t="s">
        <v>53</v>
      </c>
      <c r="B826" s="1" t="s">
        <v>17</v>
      </c>
      <c r="C826" s="1" t="s">
        <v>115</v>
      </c>
      <c r="D826">
        <v>3</v>
      </c>
      <c r="E826">
        <v>21</v>
      </c>
      <c r="F826">
        <v>7</v>
      </c>
      <c r="J826" s="1" t="s">
        <v>115</v>
      </c>
      <c r="K826">
        <v>1</v>
      </c>
      <c r="L826">
        <v>0</v>
      </c>
      <c r="M826" t="str">
        <f>IF(tblPenalties[[#This Row],[total_yards]]=0, "Declined", "Accepted")</f>
        <v>Accepted</v>
      </c>
    </row>
    <row r="827" spans="1:13" x14ac:dyDescent="0.25">
      <c r="A827" s="1" t="s">
        <v>54</v>
      </c>
      <c r="B827" s="1" t="s">
        <v>13</v>
      </c>
      <c r="C827" s="1" t="s">
        <v>115</v>
      </c>
      <c r="D827">
        <v>3</v>
      </c>
      <c r="E827">
        <v>38</v>
      </c>
      <c r="F827">
        <v>12.67</v>
      </c>
      <c r="J827" s="1" t="s">
        <v>115</v>
      </c>
      <c r="K827">
        <v>1</v>
      </c>
      <c r="L827">
        <v>0</v>
      </c>
      <c r="M827" t="str">
        <f>IF(tblPenalties[[#This Row],[total_yards]]=0, "Declined", "Accepted")</f>
        <v>Accepted</v>
      </c>
    </row>
    <row r="828" spans="1:13" x14ac:dyDescent="0.25">
      <c r="A828" s="1" t="s">
        <v>55</v>
      </c>
      <c r="B828" s="1" t="s">
        <v>40</v>
      </c>
      <c r="C828" s="1" t="s">
        <v>115</v>
      </c>
      <c r="D828">
        <v>3</v>
      </c>
      <c r="E828">
        <v>86</v>
      </c>
      <c r="F828">
        <v>28.67</v>
      </c>
      <c r="J828" s="1" t="s">
        <v>115</v>
      </c>
      <c r="K828">
        <v>1</v>
      </c>
      <c r="L828">
        <v>0</v>
      </c>
      <c r="M828" t="str">
        <f>IF(tblPenalties[[#This Row],[total_yards]]=0, "Declined", "Accepted")</f>
        <v>Accepted</v>
      </c>
    </row>
    <row r="829" spans="1:13" x14ac:dyDescent="0.25">
      <c r="A829" s="1" t="s">
        <v>116</v>
      </c>
      <c r="B829" s="1" t="s">
        <v>21</v>
      </c>
      <c r="C829" s="1" t="s">
        <v>115</v>
      </c>
      <c r="D829">
        <v>2</v>
      </c>
      <c r="E829">
        <v>35</v>
      </c>
      <c r="F829">
        <v>17.5</v>
      </c>
      <c r="J829" s="1" t="s">
        <v>115</v>
      </c>
      <c r="K829">
        <v>1</v>
      </c>
      <c r="L829">
        <v>0</v>
      </c>
      <c r="M829" t="str">
        <f>IF(tblPenalties[[#This Row],[total_yards]]=0, "Declined", "Accepted")</f>
        <v>Accepted</v>
      </c>
    </row>
    <row r="830" spans="1:13" x14ac:dyDescent="0.25">
      <c r="A830" s="1" t="s">
        <v>57</v>
      </c>
      <c r="B830" s="1" t="s">
        <v>19</v>
      </c>
      <c r="C830" s="1" t="s">
        <v>115</v>
      </c>
      <c r="D830">
        <v>4</v>
      </c>
      <c r="E830">
        <v>42</v>
      </c>
      <c r="F830">
        <v>10.5</v>
      </c>
      <c r="J830" s="1" t="s">
        <v>115</v>
      </c>
      <c r="K830">
        <v>1</v>
      </c>
      <c r="L830">
        <v>0</v>
      </c>
      <c r="M830" t="str">
        <f>IF(tblPenalties[[#This Row],[total_yards]]=0, "Declined", "Accepted")</f>
        <v>Accepted</v>
      </c>
    </row>
    <row r="831" spans="1:13" x14ac:dyDescent="0.25">
      <c r="A831" s="1" t="s">
        <v>59</v>
      </c>
      <c r="B831" s="1" t="s">
        <v>40</v>
      </c>
      <c r="C831" s="1" t="s">
        <v>115</v>
      </c>
      <c r="D831">
        <v>2</v>
      </c>
      <c r="E831">
        <v>16</v>
      </c>
      <c r="F831">
        <v>8</v>
      </c>
      <c r="J831" s="1" t="s">
        <v>115</v>
      </c>
      <c r="K831">
        <v>1</v>
      </c>
      <c r="L831">
        <v>0</v>
      </c>
      <c r="M831" t="str">
        <f>IF(tblPenalties[[#This Row],[total_yards]]=0, "Declined", "Accepted")</f>
        <v>Accepted</v>
      </c>
    </row>
    <row r="832" spans="1:13" x14ac:dyDescent="0.25">
      <c r="A832" s="1" t="s">
        <v>60</v>
      </c>
      <c r="B832" s="1" t="s">
        <v>40</v>
      </c>
      <c r="C832" s="1" t="s">
        <v>115</v>
      </c>
      <c r="D832">
        <v>7</v>
      </c>
      <c r="E832">
        <v>68</v>
      </c>
      <c r="F832">
        <v>9.7100000000000009</v>
      </c>
      <c r="J832" s="1" t="s">
        <v>115</v>
      </c>
      <c r="K832">
        <v>1</v>
      </c>
      <c r="L832">
        <v>0</v>
      </c>
      <c r="M832" t="str">
        <f>IF(tblPenalties[[#This Row],[total_yards]]=0, "Declined", "Accepted")</f>
        <v>Accepted</v>
      </c>
    </row>
    <row r="833" spans="1:13" x14ac:dyDescent="0.25">
      <c r="A833" s="1" t="s">
        <v>61</v>
      </c>
      <c r="B833" s="1" t="s">
        <v>13</v>
      </c>
      <c r="C833" s="1" t="s">
        <v>115</v>
      </c>
      <c r="D833">
        <v>5</v>
      </c>
      <c r="E833">
        <v>145</v>
      </c>
      <c r="F833">
        <v>29</v>
      </c>
      <c r="J833" s="1" t="s">
        <v>115</v>
      </c>
      <c r="K833">
        <v>1</v>
      </c>
      <c r="L833">
        <v>0</v>
      </c>
      <c r="M833" t="str">
        <f>IF(tblPenalties[[#This Row],[total_yards]]=0, "Declined", "Accepted")</f>
        <v>Accepted</v>
      </c>
    </row>
    <row r="834" spans="1:13" x14ac:dyDescent="0.25">
      <c r="A834" s="1" t="s">
        <v>63</v>
      </c>
      <c r="B834" s="1" t="s">
        <v>13</v>
      </c>
      <c r="C834" s="1" t="s">
        <v>115</v>
      </c>
      <c r="D834">
        <v>3</v>
      </c>
      <c r="E834">
        <v>57</v>
      </c>
      <c r="F834">
        <v>19</v>
      </c>
      <c r="J834" s="1" t="s">
        <v>115</v>
      </c>
      <c r="K834">
        <v>1</v>
      </c>
      <c r="L834">
        <v>0</v>
      </c>
      <c r="M834" t="str">
        <f>IF(tblPenalties[[#This Row],[total_yards]]=0, "Declined", "Accepted")</f>
        <v>Accepted</v>
      </c>
    </row>
    <row r="835" spans="1:13" x14ac:dyDescent="0.25">
      <c r="A835" s="1" t="s">
        <v>65</v>
      </c>
      <c r="B835" s="1" t="s">
        <v>34</v>
      </c>
      <c r="C835" s="1" t="s">
        <v>115</v>
      </c>
      <c r="D835">
        <v>5</v>
      </c>
      <c r="E835">
        <v>17</v>
      </c>
      <c r="F835">
        <v>3.4</v>
      </c>
      <c r="J835" s="1" t="s">
        <v>115</v>
      </c>
      <c r="K835">
        <v>1</v>
      </c>
      <c r="L835">
        <v>0</v>
      </c>
      <c r="M835" t="str">
        <f>IF(tblPenalties[[#This Row],[total_yards]]=0, "Declined", "Accepted")</f>
        <v>Accepted</v>
      </c>
    </row>
    <row r="836" spans="1:13" x14ac:dyDescent="0.25">
      <c r="A836" s="1" t="s">
        <v>66</v>
      </c>
      <c r="B836" s="1" t="s">
        <v>21</v>
      </c>
      <c r="C836" s="1" t="s">
        <v>115</v>
      </c>
      <c r="D836">
        <v>3</v>
      </c>
      <c r="E836">
        <v>18</v>
      </c>
      <c r="F836">
        <v>6</v>
      </c>
      <c r="J836" s="1" t="s">
        <v>115</v>
      </c>
      <c r="K836">
        <v>1</v>
      </c>
      <c r="L836">
        <v>0</v>
      </c>
      <c r="M836" t="str">
        <f>IF(tblPenalties[[#This Row],[total_yards]]=0, "Declined", "Accepted")</f>
        <v>Accepted</v>
      </c>
    </row>
    <row r="837" spans="1:13" x14ac:dyDescent="0.25">
      <c r="A837" s="1" t="s">
        <v>67</v>
      </c>
      <c r="B837" s="1" t="s">
        <v>52</v>
      </c>
      <c r="C837" s="1" t="s">
        <v>115</v>
      </c>
      <c r="D837">
        <v>4</v>
      </c>
      <c r="E837">
        <v>23</v>
      </c>
      <c r="F837">
        <v>5.75</v>
      </c>
      <c r="J837" s="1" t="s">
        <v>115</v>
      </c>
      <c r="K837">
        <v>1</v>
      </c>
      <c r="L837">
        <v>0</v>
      </c>
      <c r="M837" t="str">
        <f>IF(tblPenalties[[#This Row],[total_yards]]=0, "Declined", "Accepted")</f>
        <v>Accepted</v>
      </c>
    </row>
    <row r="838" spans="1:13" x14ac:dyDescent="0.25">
      <c r="A838" s="1" t="s">
        <v>119</v>
      </c>
      <c r="B838" s="1" t="s">
        <v>52</v>
      </c>
      <c r="C838" s="1" t="s">
        <v>115</v>
      </c>
      <c r="D838">
        <v>5</v>
      </c>
      <c r="E838">
        <v>59</v>
      </c>
      <c r="F838">
        <v>11.8</v>
      </c>
      <c r="J838" s="1" t="s">
        <v>115</v>
      </c>
      <c r="K838">
        <v>1</v>
      </c>
      <c r="L838">
        <v>0</v>
      </c>
      <c r="M838" t="str">
        <f>IF(tblPenalties[[#This Row],[total_yards]]=0, "Declined", "Accepted")</f>
        <v>Accepted</v>
      </c>
    </row>
    <row r="839" spans="1:13" x14ac:dyDescent="0.25">
      <c r="A839" s="1" t="s">
        <v>68</v>
      </c>
      <c r="B839" s="1" t="s">
        <v>19</v>
      </c>
      <c r="C839" s="1" t="s">
        <v>115</v>
      </c>
      <c r="D839">
        <v>6</v>
      </c>
      <c r="E839">
        <v>59</v>
      </c>
      <c r="F839">
        <v>9.83</v>
      </c>
      <c r="J839" s="1" t="s">
        <v>115</v>
      </c>
      <c r="K839">
        <v>1</v>
      </c>
      <c r="L839">
        <v>0</v>
      </c>
      <c r="M839" t="str">
        <f>IF(tblPenalties[[#This Row],[total_yards]]=0, "Declined", "Accepted")</f>
        <v>Accepted</v>
      </c>
    </row>
    <row r="840" spans="1:13" x14ac:dyDescent="0.25">
      <c r="A840" s="1" t="s">
        <v>69</v>
      </c>
      <c r="B840" s="1" t="s">
        <v>40</v>
      </c>
      <c r="C840" s="1" t="s">
        <v>115</v>
      </c>
      <c r="D840">
        <v>10</v>
      </c>
      <c r="E840">
        <v>110</v>
      </c>
      <c r="F840">
        <v>11</v>
      </c>
      <c r="J840" s="1" t="s">
        <v>115</v>
      </c>
      <c r="K840">
        <v>1</v>
      </c>
      <c r="L840">
        <v>0</v>
      </c>
      <c r="M840" t="str">
        <f>IF(tblPenalties[[#This Row],[total_yards]]=0, "Declined", "Accepted")</f>
        <v>Accepted</v>
      </c>
    </row>
    <row r="841" spans="1:13" x14ac:dyDescent="0.25">
      <c r="A841" s="1" t="s">
        <v>70</v>
      </c>
      <c r="B841" s="1" t="s">
        <v>21</v>
      </c>
      <c r="C841" s="1" t="s">
        <v>115</v>
      </c>
      <c r="D841">
        <v>3</v>
      </c>
      <c r="E841">
        <v>49</v>
      </c>
      <c r="F841">
        <v>16.329999999999998</v>
      </c>
      <c r="J841" s="1" t="s">
        <v>115</v>
      </c>
      <c r="K841">
        <v>1</v>
      </c>
      <c r="L841">
        <v>0</v>
      </c>
      <c r="M841" t="str">
        <f>IF(tblPenalties[[#This Row],[total_yards]]=0, "Declined", "Accepted")</f>
        <v>Accepted</v>
      </c>
    </row>
    <row r="842" spans="1:13" x14ac:dyDescent="0.25">
      <c r="A842" s="1" t="s">
        <v>71</v>
      </c>
      <c r="B842" s="1" t="s">
        <v>34</v>
      </c>
      <c r="C842" s="1" t="s">
        <v>115</v>
      </c>
      <c r="D842">
        <v>2</v>
      </c>
      <c r="E842">
        <v>63</v>
      </c>
      <c r="F842">
        <v>31.5</v>
      </c>
      <c r="J842" s="1" t="s">
        <v>115</v>
      </c>
      <c r="K842">
        <v>1</v>
      </c>
      <c r="L842">
        <v>0</v>
      </c>
      <c r="M842" t="str">
        <f>IF(tblPenalties[[#This Row],[total_yards]]=0, "Declined", "Accepted")</f>
        <v>Accepted</v>
      </c>
    </row>
    <row r="843" spans="1:13" x14ac:dyDescent="0.25">
      <c r="A843" s="1" t="s">
        <v>148</v>
      </c>
      <c r="B843" s="1" t="s">
        <v>52</v>
      </c>
      <c r="C843" s="1" t="s">
        <v>115</v>
      </c>
      <c r="D843">
        <v>2</v>
      </c>
      <c r="E843">
        <v>17</v>
      </c>
      <c r="F843">
        <v>8.5</v>
      </c>
      <c r="J843" s="1" t="s">
        <v>115</v>
      </c>
      <c r="K843">
        <v>1</v>
      </c>
      <c r="L843">
        <v>0</v>
      </c>
      <c r="M843" t="str">
        <f>IF(tblPenalties[[#This Row],[total_yards]]=0, "Declined", "Accepted")</f>
        <v>Accepted</v>
      </c>
    </row>
    <row r="844" spans="1:13" x14ac:dyDescent="0.25">
      <c r="A844" s="1" t="s">
        <v>123</v>
      </c>
      <c r="B844" s="1" t="s">
        <v>26</v>
      </c>
      <c r="C844" s="1" t="s">
        <v>115</v>
      </c>
      <c r="D844">
        <v>6</v>
      </c>
      <c r="E844">
        <v>122</v>
      </c>
      <c r="F844">
        <v>20.329999999999998</v>
      </c>
      <c r="J844" s="1" t="s">
        <v>115</v>
      </c>
      <c r="K844">
        <v>1</v>
      </c>
      <c r="L844">
        <v>0</v>
      </c>
      <c r="M844" t="str">
        <f>IF(tblPenalties[[#This Row],[total_yards]]=0, "Declined", "Accepted")</f>
        <v>Accepted</v>
      </c>
    </row>
    <row r="845" spans="1:13" x14ac:dyDescent="0.25">
      <c r="A845" s="1" t="s">
        <v>74</v>
      </c>
      <c r="B845" s="1" t="s">
        <v>40</v>
      </c>
      <c r="C845" s="1" t="s">
        <v>115</v>
      </c>
      <c r="D845">
        <v>6</v>
      </c>
      <c r="E845">
        <v>70</v>
      </c>
      <c r="F845">
        <v>11.67</v>
      </c>
      <c r="J845" s="1" t="s">
        <v>115</v>
      </c>
      <c r="K845">
        <v>1</v>
      </c>
      <c r="L845">
        <v>0</v>
      </c>
      <c r="M845" t="str">
        <f>IF(tblPenalties[[#This Row],[total_yards]]=0, "Declined", "Accepted")</f>
        <v>Accepted</v>
      </c>
    </row>
    <row r="846" spans="1:13" x14ac:dyDescent="0.25">
      <c r="A846" s="1" t="s">
        <v>150</v>
      </c>
      <c r="B846" s="1" t="s">
        <v>28</v>
      </c>
      <c r="C846" s="1" t="s">
        <v>115</v>
      </c>
      <c r="D846">
        <v>5</v>
      </c>
      <c r="E846">
        <v>27</v>
      </c>
      <c r="F846">
        <v>5.4</v>
      </c>
      <c r="J846" s="1" t="s">
        <v>115</v>
      </c>
      <c r="K846">
        <v>1</v>
      </c>
      <c r="L846">
        <v>0</v>
      </c>
      <c r="M846" t="str">
        <f>IF(tblPenalties[[#This Row],[total_yards]]=0, "Declined", "Accepted")</f>
        <v>Accepted</v>
      </c>
    </row>
    <row r="847" spans="1:13" x14ac:dyDescent="0.25">
      <c r="A847" s="1" t="s">
        <v>140</v>
      </c>
      <c r="B847" s="1" t="s">
        <v>52</v>
      </c>
      <c r="C847" s="1" t="s">
        <v>115</v>
      </c>
      <c r="D847">
        <v>2</v>
      </c>
      <c r="E847">
        <v>15</v>
      </c>
      <c r="F847">
        <v>7.5</v>
      </c>
      <c r="J847" s="1" t="s">
        <v>115</v>
      </c>
      <c r="K847">
        <v>1</v>
      </c>
      <c r="L847">
        <v>0</v>
      </c>
      <c r="M847" t="str">
        <f>IF(tblPenalties[[#This Row],[total_yards]]=0, "Declined", "Accepted")</f>
        <v>Accepted</v>
      </c>
    </row>
    <row r="848" spans="1:13" x14ac:dyDescent="0.25">
      <c r="A848" s="1" t="s">
        <v>75</v>
      </c>
      <c r="B848" s="1" t="s">
        <v>13</v>
      </c>
      <c r="C848" s="1" t="s">
        <v>115</v>
      </c>
      <c r="D848">
        <v>3</v>
      </c>
      <c r="E848">
        <v>41</v>
      </c>
      <c r="F848">
        <v>13.67</v>
      </c>
      <c r="J848" s="1" t="s">
        <v>115</v>
      </c>
      <c r="K848">
        <v>1</v>
      </c>
      <c r="L848">
        <v>0</v>
      </c>
      <c r="M848" t="str">
        <f>IF(tblPenalties[[#This Row],[total_yards]]=0, "Declined", "Accepted")</f>
        <v>Accepted</v>
      </c>
    </row>
    <row r="849" spans="1:13" x14ac:dyDescent="0.25">
      <c r="A849" s="1" t="s">
        <v>76</v>
      </c>
      <c r="B849" s="1" t="s">
        <v>21</v>
      </c>
      <c r="C849" s="1" t="s">
        <v>115</v>
      </c>
      <c r="D849">
        <v>4</v>
      </c>
      <c r="E849">
        <v>10</v>
      </c>
      <c r="F849">
        <v>2.5</v>
      </c>
      <c r="J849" s="1" t="s">
        <v>115</v>
      </c>
      <c r="K849">
        <v>1</v>
      </c>
      <c r="L849">
        <v>0</v>
      </c>
      <c r="M849" t="str">
        <f>IF(tblPenalties[[#This Row],[total_yards]]=0, "Declined", "Accepted")</f>
        <v>Accepted</v>
      </c>
    </row>
    <row r="850" spans="1:13" x14ac:dyDescent="0.25">
      <c r="A850" s="1" t="s">
        <v>77</v>
      </c>
      <c r="B850" s="1" t="s">
        <v>17</v>
      </c>
      <c r="C850" s="1" t="s">
        <v>115</v>
      </c>
      <c r="D850">
        <v>2</v>
      </c>
      <c r="E850">
        <v>15</v>
      </c>
      <c r="F850">
        <v>7.5</v>
      </c>
      <c r="J850" s="1" t="s">
        <v>115</v>
      </c>
      <c r="K850">
        <v>1</v>
      </c>
      <c r="L850">
        <v>0</v>
      </c>
      <c r="M850" t="str">
        <f>IF(tblPenalties[[#This Row],[total_yards]]=0, "Declined", "Accepted")</f>
        <v>Accepted</v>
      </c>
    </row>
    <row r="851" spans="1:13" x14ac:dyDescent="0.25">
      <c r="A851" s="1" t="s">
        <v>81</v>
      </c>
      <c r="B851" s="1" t="s">
        <v>52</v>
      </c>
      <c r="C851" s="1" t="s">
        <v>115</v>
      </c>
      <c r="D851">
        <v>3</v>
      </c>
      <c r="E851">
        <v>55</v>
      </c>
      <c r="F851">
        <v>18.329999999999998</v>
      </c>
      <c r="J851" s="1" t="s">
        <v>115</v>
      </c>
      <c r="K851">
        <v>1</v>
      </c>
      <c r="L851">
        <v>0</v>
      </c>
      <c r="M851" t="str">
        <f>IF(tblPenalties[[#This Row],[total_yards]]=0, "Declined", "Accepted")</f>
        <v>Accepted</v>
      </c>
    </row>
    <row r="852" spans="1:13" x14ac:dyDescent="0.25">
      <c r="A852" s="1" t="s">
        <v>82</v>
      </c>
      <c r="B852" s="1" t="s">
        <v>34</v>
      </c>
      <c r="C852" s="1" t="s">
        <v>115</v>
      </c>
      <c r="D852">
        <v>5</v>
      </c>
      <c r="E852">
        <v>55</v>
      </c>
      <c r="F852">
        <v>11</v>
      </c>
      <c r="J852" s="1" t="s">
        <v>115</v>
      </c>
      <c r="K852">
        <v>1</v>
      </c>
      <c r="L852">
        <v>0</v>
      </c>
      <c r="M852" t="str">
        <f>IF(tblPenalties[[#This Row],[total_yards]]=0, "Declined", "Accepted")</f>
        <v>Accepted</v>
      </c>
    </row>
    <row r="853" spans="1:13" x14ac:dyDescent="0.25">
      <c r="A853" s="1" t="s">
        <v>85</v>
      </c>
      <c r="B853" s="1" t="s">
        <v>28</v>
      </c>
      <c r="C853" s="1" t="s">
        <v>115</v>
      </c>
      <c r="D853">
        <v>9</v>
      </c>
      <c r="E853">
        <v>110</v>
      </c>
      <c r="F853">
        <v>12.22</v>
      </c>
      <c r="J853" s="1" t="s">
        <v>115</v>
      </c>
      <c r="K853">
        <v>1</v>
      </c>
      <c r="L853">
        <v>0</v>
      </c>
      <c r="M853" t="str">
        <f>IF(tblPenalties[[#This Row],[total_yards]]=0, "Declined", "Accepted")</f>
        <v>Accepted</v>
      </c>
    </row>
    <row r="854" spans="1:13" x14ac:dyDescent="0.25">
      <c r="A854" s="1" t="s">
        <v>149</v>
      </c>
      <c r="B854" s="1" t="s">
        <v>26</v>
      </c>
      <c r="C854" s="1" t="s">
        <v>115</v>
      </c>
      <c r="D854">
        <v>2</v>
      </c>
      <c r="E854">
        <v>6</v>
      </c>
      <c r="F854">
        <v>3</v>
      </c>
      <c r="J854" s="1" t="s">
        <v>115</v>
      </c>
      <c r="K854">
        <v>1</v>
      </c>
      <c r="L854">
        <v>0</v>
      </c>
      <c r="M854" t="str">
        <f>IF(tblPenalties[[#This Row],[total_yards]]=0, "Declined", "Accepted")</f>
        <v>Accepted</v>
      </c>
    </row>
    <row r="855" spans="1:13" x14ac:dyDescent="0.25">
      <c r="A855" s="1" t="s">
        <v>89</v>
      </c>
      <c r="B855" s="1" t="s">
        <v>13</v>
      </c>
      <c r="C855" s="1" t="s">
        <v>115</v>
      </c>
      <c r="D855">
        <v>4</v>
      </c>
      <c r="E855">
        <v>45</v>
      </c>
      <c r="F855">
        <v>11.25</v>
      </c>
      <c r="J855" s="1" t="s">
        <v>115</v>
      </c>
      <c r="K855">
        <v>1</v>
      </c>
      <c r="L855">
        <v>0</v>
      </c>
      <c r="M855" t="str">
        <f>IF(tblPenalties[[#This Row],[total_yards]]=0, "Declined", "Accepted")</f>
        <v>Accepted</v>
      </c>
    </row>
    <row r="856" spans="1:13" x14ac:dyDescent="0.25">
      <c r="A856" s="1" t="s">
        <v>141</v>
      </c>
      <c r="B856" s="1" t="s">
        <v>28</v>
      </c>
      <c r="C856" s="1" t="s">
        <v>115</v>
      </c>
      <c r="D856">
        <v>3</v>
      </c>
      <c r="E856">
        <v>7</v>
      </c>
      <c r="F856">
        <v>2.33</v>
      </c>
      <c r="J856" s="1" t="s">
        <v>115</v>
      </c>
      <c r="K856">
        <v>1</v>
      </c>
      <c r="L856">
        <v>0</v>
      </c>
      <c r="M856" t="str">
        <f>IF(tblPenalties[[#This Row],[total_yards]]=0, "Declined", "Accepted")</f>
        <v>Accepted</v>
      </c>
    </row>
    <row r="857" spans="1:13" x14ac:dyDescent="0.25">
      <c r="A857" s="1" t="s">
        <v>90</v>
      </c>
      <c r="B857" s="1" t="s">
        <v>28</v>
      </c>
      <c r="C857" s="1" t="s">
        <v>115</v>
      </c>
      <c r="D857">
        <v>5</v>
      </c>
      <c r="E857">
        <v>134</v>
      </c>
      <c r="F857">
        <v>26.8</v>
      </c>
      <c r="J857" s="1" t="s">
        <v>115</v>
      </c>
      <c r="K857">
        <v>1</v>
      </c>
      <c r="L857">
        <v>0</v>
      </c>
      <c r="M857" t="str">
        <f>IF(tblPenalties[[#This Row],[total_yards]]=0, "Declined", "Accepted")</f>
        <v>Accepted</v>
      </c>
    </row>
    <row r="858" spans="1:13" x14ac:dyDescent="0.25">
      <c r="A858" s="1" t="s">
        <v>131</v>
      </c>
      <c r="B858" s="1" t="s">
        <v>13</v>
      </c>
      <c r="C858" s="1" t="s">
        <v>115</v>
      </c>
      <c r="D858">
        <v>3</v>
      </c>
      <c r="E858">
        <v>65</v>
      </c>
      <c r="F858">
        <v>21.67</v>
      </c>
      <c r="J858" s="1" t="s">
        <v>115</v>
      </c>
      <c r="K858">
        <v>1</v>
      </c>
      <c r="L858">
        <v>0</v>
      </c>
      <c r="M858" t="str">
        <f>IF(tblPenalties[[#This Row],[total_yards]]=0, "Declined", "Accepted")</f>
        <v>Accepted</v>
      </c>
    </row>
    <row r="859" spans="1:13" x14ac:dyDescent="0.25">
      <c r="A859" s="1" t="s">
        <v>93</v>
      </c>
      <c r="B859" s="1" t="s">
        <v>21</v>
      </c>
      <c r="C859" s="1" t="s">
        <v>115</v>
      </c>
      <c r="D859">
        <v>2</v>
      </c>
      <c r="E859">
        <v>18</v>
      </c>
      <c r="F859">
        <v>9</v>
      </c>
      <c r="J859" s="1" t="s">
        <v>115</v>
      </c>
      <c r="K859">
        <v>1</v>
      </c>
      <c r="L859">
        <v>0</v>
      </c>
      <c r="M859" t="str">
        <f>IF(tblPenalties[[#This Row],[total_yards]]=0, "Declined", "Accepted")</f>
        <v>Accepted</v>
      </c>
    </row>
    <row r="860" spans="1:13" x14ac:dyDescent="0.25">
      <c r="A860" s="1" t="s">
        <v>94</v>
      </c>
      <c r="B860" s="1" t="s">
        <v>13</v>
      </c>
      <c r="C860" s="1" t="s">
        <v>115</v>
      </c>
      <c r="D860">
        <v>4</v>
      </c>
      <c r="E860">
        <v>76</v>
      </c>
      <c r="F860">
        <v>19</v>
      </c>
      <c r="J860" s="1" t="s">
        <v>115</v>
      </c>
      <c r="K860">
        <v>1</v>
      </c>
      <c r="L860">
        <v>0</v>
      </c>
      <c r="M860" t="str">
        <f>IF(tblPenalties[[#This Row],[total_yards]]=0, "Declined", "Accepted")</f>
        <v>Accepted</v>
      </c>
    </row>
    <row r="861" spans="1:13" x14ac:dyDescent="0.25">
      <c r="A861" s="1" t="s">
        <v>95</v>
      </c>
      <c r="B861" s="1" t="s">
        <v>34</v>
      </c>
      <c r="C861" s="1" t="s">
        <v>115</v>
      </c>
      <c r="D861">
        <v>3</v>
      </c>
      <c r="E861">
        <v>19</v>
      </c>
      <c r="F861">
        <v>6.33</v>
      </c>
      <c r="J861" s="1" t="s">
        <v>115</v>
      </c>
      <c r="K861">
        <v>1</v>
      </c>
      <c r="L861">
        <v>0</v>
      </c>
      <c r="M861" t="str">
        <f>IF(tblPenalties[[#This Row],[total_yards]]=0, "Declined", "Accepted")</f>
        <v>Accepted</v>
      </c>
    </row>
    <row r="862" spans="1:13" x14ac:dyDescent="0.25">
      <c r="A862" s="1" t="s">
        <v>96</v>
      </c>
      <c r="B862" s="1" t="s">
        <v>34</v>
      </c>
      <c r="C862" s="1" t="s">
        <v>115</v>
      </c>
      <c r="D862">
        <v>2</v>
      </c>
      <c r="E862">
        <v>24</v>
      </c>
      <c r="F862">
        <v>12</v>
      </c>
      <c r="J862" s="1" t="s">
        <v>115</v>
      </c>
      <c r="K862">
        <v>1</v>
      </c>
      <c r="L862">
        <v>0</v>
      </c>
      <c r="M862" t="str">
        <f>IF(tblPenalties[[#This Row],[total_yards]]=0, "Declined", "Accepted")</f>
        <v>Accepted</v>
      </c>
    </row>
    <row r="863" spans="1:13" x14ac:dyDescent="0.25">
      <c r="A863" s="1" t="s">
        <v>97</v>
      </c>
      <c r="B863" s="1" t="s">
        <v>34</v>
      </c>
      <c r="C863" s="1" t="s">
        <v>115</v>
      </c>
      <c r="D863">
        <v>3</v>
      </c>
      <c r="E863">
        <v>6</v>
      </c>
      <c r="F863">
        <v>2</v>
      </c>
      <c r="J863" s="1" t="s">
        <v>115</v>
      </c>
      <c r="K863">
        <v>1</v>
      </c>
      <c r="L863">
        <v>0</v>
      </c>
      <c r="M863" t="str">
        <f>IF(tblPenalties[[#This Row],[total_yards]]=0, "Declined", "Accepted")</f>
        <v>Accepted</v>
      </c>
    </row>
    <row r="864" spans="1:13" x14ac:dyDescent="0.25">
      <c r="A864" s="1" t="s">
        <v>98</v>
      </c>
      <c r="B864" s="1" t="s">
        <v>17</v>
      </c>
      <c r="C864" s="1" t="s">
        <v>115</v>
      </c>
      <c r="D864">
        <v>1</v>
      </c>
      <c r="E864">
        <v>4</v>
      </c>
      <c r="F864">
        <v>4</v>
      </c>
      <c r="J864" s="1" t="s">
        <v>115</v>
      </c>
      <c r="K864">
        <v>1</v>
      </c>
      <c r="L864">
        <v>0</v>
      </c>
      <c r="M864" t="str">
        <f>IF(tblPenalties[[#This Row],[total_yards]]=0, "Declined", "Accepted")</f>
        <v>Accepted</v>
      </c>
    </row>
    <row r="865" spans="1:13" x14ac:dyDescent="0.25">
      <c r="A865" s="1" t="s">
        <v>142</v>
      </c>
      <c r="B865" s="1" t="s">
        <v>52</v>
      </c>
      <c r="C865" s="1" t="s">
        <v>115</v>
      </c>
      <c r="D865">
        <v>5</v>
      </c>
      <c r="E865">
        <v>12</v>
      </c>
      <c r="F865">
        <v>2.4</v>
      </c>
      <c r="J865" s="1" t="s">
        <v>115</v>
      </c>
      <c r="K865">
        <v>1</v>
      </c>
      <c r="L865">
        <v>0</v>
      </c>
      <c r="M865" t="str">
        <f>IF(tblPenalties[[#This Row],[total_yards]]=0, "Declined", "Accepted")</f>
        <v>Accepted</v>
      </c>
    </row>
    <row r="866" spans="1:13" x14ac:dyDescent="0.25">
      <c r="A866" s="1" t="s">
        <v>99</v>
      </c>
      <c r="B866" s="1" t="s">
        <v>100</v>
      </c>
      <c r="C866" s="1" t="s">
        <v>115</v>
      </c>
      <c r="D866">
        <v>7</v>
      </c>
      <c r="E866">
        <v>102</v>
      </c>
      <c r="F866">
        <v>14.57</v>
      </c>
      <c r="J866" s="1" t="s">
        <v>115</v>
      </c>
      <c r="K866">
        <v>1</v>
      </c>
      <c r="L866">
        <v>0</v>
      </c>
      <c r="M866" t="str">
        <f>IF(tblPenalties[[#This Row],[total_yards]]=0, "Declined", "Accepted")</f>
        <v>Accepted</v>
      </c>
    </row>
    <row r="867" spans="1:13" x14ac:dyDescent="0.25">
      <c r="A867" s="1" t="s">
        <v>151</v>
      </c>
      <c r="B867" s="1" t="s">
        <v>13</v>
      </c>
      <c r="C867" s="1" t="s">
        <v>115</v>
      </c>
      <c r="D867">
        <v>1</v>
      </c>
      <c r="E867">
        <v>8</v>
      </c>
      <c r="F867">
        <v>8</v>
      </c>
      <c r="J867" s="1" t="s">
        <v>115</v>
      </c>
      <c r="K867">
        <v>1</v>
      </c>
      <c r="L867">
        <v>0</v>
      </c>
      <c r="M867" t="str">
        <f>IF(tblPenalties[[#This Row],[total_yards]]=0, "Declined", "Accepted")</f>
        <v>Accepted</v>
      </c>
    </row>
    <row r="868" spans="1:13" x14ac:dyDescent="0.25">
      <c r="A868" s="1" t="s">
        <v>101</v>
      </c>
      <c r="B868" s="1" t="s">
        <v>21</v>
      </c>
      <c r="C868" s="1" t="s">
        <v>115</v>
      </c>
      <c r="D868">
        <v>4</v>
      </c>
      <c r="E868">
        <v>105</v>
      </c>
      <c r="F868">
        <v>26.25</v>
      </c>
      <c r="J868" s="1" t="s">
        <v>115</v>
      </c>
      <c r="K868">
        <v>1</v>
      </c>
      <c r="L868">
        <v>0</v>
      </c>
      <c r="M868" t="str">
        <f>IF(tblPenalties[[#This Row],[total_yards]]=0, "Declined", "Accepted")</f>
        <v>Accepted</v>
      </c>
    </row>
    <row r="869" spans="1:13" x14ac:dyDescent="0.25">
      <c r="A869" s="1" t="s">
        <v>102</v>
      </c>
      <c r="B869" s="1" t="s">
        <v>26</v>
      </c>
      <c r="C869" s="1" t="s">
        <v>115</v>
      </c>
      <c r="D869">
        <v>9</v>
      </c>
      <c r="E869">
        <v>132</v>
      </c>
      <c r="F869">
        <v>14.67</v>
      </c>
      <c r="J869" s="1" t="s">
        <v>115</v>
      </c>
      <c r="K869">
        <v>1</v>
      </c>
      <c r="L869">
        <v>0</v>
      </c>
      <c r="M869" t="str">
        <f>IF(tblPenalties[[#This Row],[total_yards]]=0, "Declined", "Accepted")</f>
        <v>Accepted</v>
      </c>
    </row>
    <row r="870" spans="1:13" x14ac:dyDescent="0.25">
      <c r="A870" s="1" t="s">
        <v>143</v>
      </c>
      <c r="B870" s="1" t="s">
        <v>40</v>
      </c>
      <c r="C870" s="1" t="s">
        <v>115</v>
      </c>
      <c r="D870">
        <v>5</v>
      </c>
      <c r="E870">
        <v>72</v>
      </c>
      <c r="F870">
        <v>14.4</v>
      </c>
      <c r="J870" s="1" t="s">
        <v>115</v>
      </c>
      <c r="K870">
        <v>1</v>
      </c>
      <c r="L870">
        <v>0</v>
      </c>
      <c r="M870" t="str">
        <f>IF(tblPenalties[[#This Row],[total_yards]]=0, "Declined", "Accepted")</f>
        <v>Accepted</v>
      </c>
    </row>
    <row r="871" spans="1:13" x14ac:dyDescent="0.25">
      <c r="A871" s="1" t="s">
        <v>104</v>
      </c>
      <c r="B871" s="1" t="s">
        <v>34</v>
      </c>
      <c r="C871" s="1" t="s">
        <v>115</v>
      </c>
      <c r="D871">
        <v>2</v>
      </c>
      <c r="E871">
        <v>31</v>
      </c>
      <c r="F871">
        <v>15.5</v>
      </c>
      <c r="J871" s="1" t="s">
        <v>115</v>
      </c>
      <c r="K871">
        <v>1</v>
      </c>
      <c r="L871">
        <v>0</v>
      </c>
      <c r="M871" t="str">
        <f>IF(tblPenalties[[#This Row],[total_yards]]=0, "Declined", "Accepted")</f>
        <v>Accepted</v>
      </c>
    </row>
    <row r="872" spans="1:13" x14ac:dyDescent="0.25">
      <c r="A872" s="1" t="s">
        <v>107</v>
      </c>
      <c r="B872" s="1" t="s">
        <v>21</v>
      </c>
      <c r="C872" s="1" t="s">
        <v>115</v>
      </c>
      <c r="D872">
        <v>6</v>
      </c>
      <c r="E872">
        <v>94</v>
      </c>
      <c r="F872">
        <v>15.67</v>
      </c>
      <c r="J872" s="1" t="s">
        <v>115</v>
      </c>
      <c r="K872">
        <v>1</v>
      </c>
      <c r="L872">
        <v>0</v>
      </c>
      <c r="M872" t="str">
        <f>IF(tblPenalties[[#This Row],[total_yards]]=0, "Declined", "Accepted")</f>
        <v>Accepted</v>
      </c>
    </row>
    <row r="873" spans="1:13" x14ac:dyDescent="0.25">
      <c r="A873" s="1" t="s">
        <v>132</v>
      </c>
      <c r="B873" s="1" t="s">
        <v>40</v>
      </c>
      <c r="C873" s="1" t="s">
        <v>115</v>
      </c>
      <c r="D873">
        <v>2</v>
      </c>
      <c r="E873">
        <v>16</v>
      </c>
      <c r="F873">
        <v>8</v>
      </c>
      <c r="J873" s="1" t="s">
        <v>115</v>
      </c>
      <c r="K873">
        <v>1</v>
      </c>
      <c r="L873">
        <v>0</v>
      </c>
      <c r="M873" t="str">
        <f>IF(tblPenalties[[#This Row],[total_yards]]=0, "Declined", "Accepted")</f>
        <v>Accepted</v>
      </c>
    </row>
    <row r="874" spans="1:13" x14ac:dyDescent="0.25">
      <c r="A874" s="1" t="s">
        <v>108</v>
      </c>
      <c r="B874" s="1" t="s">
        <v>28</v>
      </c>
      <c r="C874" s="1" t="s">
        <v>115</v>
      </c>
      <c r="D874">
        <v>2</v>
      </c>
      <c r="E874">
        <v>14</v>
      </c>
      <c r="F874">
        <v>7</v>
      </c>
      <c r="J874" s="1" t="s">
        <v>115</v>
      </c>
      <c r="K874">
        <v>1</v>
      </c>
      <c r="L874">
        <v>0</v>
      </c>
      <c r="M874" t="str">
        <f>IF(tblPenalties[[#This Row],[total_yards]]=0, "Declined", "Accepted")</f>
        <v>Accepted</v>
      </c>
    </row>
    <row r="875" spans="1:13" x14ac:dyDescent="0.25">
      <c r="A875" s="1" t="s">
        <v>133</v>
      </c>
      <c r="B875" s="1" t="s">
        <v>52</v>
      </c>
      <c r="C875" s="1" t="s">
        <v>115</v>
      </c>
      <c r="D875">
        <v>5</v>
      </c>
      <c r="E875">
        <v>16</v>
      </c>
      <c r="F875">
        <v>3.2</v>
      </c>
      <c r="J875" s="1" t="s">
        <v>115</v>
      </c>
      <c r="K875">
        <v>1</v>
      </c>
      <c r="L875">
        <v>0</v>
      </c>
      <c r="M875" t="str">
        <f>IF(tblPenalties[[#This Row],[total_yards]]=0, "Declined", "Accepted")</f>
        <v>Accepted</v>
      </c>
    </row>
    <row r="876" spans="1:13" x14ac:dyDescent="0.25">
      <c r="A876" s="1" t="s">
        <v>111</v>
      </c>
      <c r="B876" s="1" t="s">
        <v>52</v>
      </c>
      <c r="C876" s="1" t="s">
        <v>115</v>
      </c>
      <c r="D876">
        <v>5</v>
      </c>
      <c r="E876">
        <v>33</v>
      </c>
      <c r="F876">
        <v>6.6</v>
      </c>
      <c r="J876" s="1" t="s">
        <v>115</v>
      </c>
      <c r="K876">
        <v>1</v>
      </c>
      <c r="L876">
        <v>0</v>
      </c>
      <c r="M876" t="str">
        <f>IF(tblPenalties[[#This Row],[total_yards]]=0, "Declined", "Accepted")</f>
        <v>Accepted</v>
      </c>
    </row>
    <row r="877" spans="1:13" x14ac:dyDescent="0.25">
      <c r="A877" s="1" t="s">
        <v>144</v>
      </c>
      <c r="B877" s="1" t="s">
        <v>26</v>
      </c>
      <c r="C877" s="1" t="s">
        <v>115</v>
      </c>
      <c r="D877">
        <v>3</v>
      </c>
      <c r="E877">
        <v>123</v>
      </c>
      <c r="F877">
        <v>41</v>
      </c>
      <c r="J877" s="1" t="s">
        <v>115</v>
      </c>
      <c r="K877">
        <v>1</v>
      </c>
      <c r="L877">
        <v>0</v>
      </c>
      <c r="M877" t="str">
        <f>IF(tblPenalties[[#This Row],[total_yards]]=0, "Declined", "Accepted")</f>
        <v>Accepted</v>
      </c>
    </row>
    <row r="878" spans="1:13" x14ac:dyDescent="0.25">
      <c r="A878" s="1" t="s">
        <v>134</v>
      </c>
      <c r="B878" s="1" t="s">
        <v>26</v>
      </c>
      <c r="C878" s="1" t="s">
        <v>14</v>
      </c>
      <c r="D878">
        <v>7</v>
      </c>
      <c r="E878">
        <v>30</v>
      </c>
      <c r="F878">
        <v>4.29</v>
      </c>
      <c r="J878" s="1" t="s">
        <v>15</v>
      </c>
      <c r="K878">
        <v>1</v>
      </c>
      <c r="L878">
        <v>0</v>
      </c>
      <c r="M878" t="str">
        <f>IF(tblPenalties[[#This Row],[total_yards]]=0, "Declined", "Accepted")</f>
        <v>Accepted</v>
      </c>
    </row>
    <row r="879" spans="1:13" x14ac:dyDescent="0.25">
      <c r="A879" s="1" t="s">
        <v>145</v>
      </c>
      <c r="B879" s="1" t="s">
        <v>21</v>
      </c>
      <c r="C879" s="1" t="s">
        <v>14</v>
      </c>
      <c r="D879">
        <v>12</v>
      </c>
      <c r="E879">
        <v>105</v>
      </c>
      <c r="F879">
        <v>8.75</v>
      </c>
      <c r="J879" s="1" t="s">
        <v>15</v>
      </c>
      <c r="K879">
        <v>1</v>
      </c>
      <c r="L879">
        <v>0</v>
      </c>
      <c r="M879" t="str">
        <f>IF(tblPenalties[[#This Row],[total_yards]]=0, "Declined", "Accepted")</f>
        <v>Accepted</v>
      </c>
    </row>
    <row r="880" spans="1:13" x14ac:dyDescent="0.25">
      <c r="A880" s="1" t="s">
        <v>135</v>
      </c>
      <c r="B880" s="1" t="s">
        <v>17</v>
      </c>
      <c r="C880" s="1" t="s">
        <v>14</v>
      </c>
      <c r="D880">
        <v>13</v>
      </c>
      <c r="E880">
        <v>56</v>
      </c>
      <c r="F880">
        <v>4.3099999999999996</v>
      </c>
      <c r="J880" s="1" t="s">
        <v>15</v>
      </c>
      <c r="K880">
        <v>1</v>
      </c>
      <c r="L880">
        <v>0</v>
      </c>
      <c r="M880" t="str">
        <f>IF(tblPenalties[[#This Row],[total_yards]]=0, "Declined", "Accepted")</f>
        <v>Accepted</v>
      </c>
    </row>
    <row r="881" spans="1:13" x14ac:dyDescent="0.25">
      <c r="A881" s="1" t="s">
        <v>124</v>
      </c>
      <c r="B881" s="1" t="s">
        <v>13</v>
      </c>
      <c r="C881" s="1" t="s">
        <v>14</v>
      </c>
      <c r="D881">
        <v>22</v>
      </c>
      <c r="E881">
        <v>45</v>
      </c>
      <c r="F881">
        <v>2.0499999999999998</v>
      </c>
      <c r="J881" s="1" t="s">
        <v>15</v>
      </c>
      <c r="K881">
        <v>1</v>
      </c>
      <c r="L881">
        <v>0</v>
      </c>
      <c r="M881" t="str">
        <f>IF(tblPenalties[[#This Row],[total_yards]]=0, "Declined", "Accepted")</f>
        <v>Accepted</v>
      </c>
    </row>
    <row r="882" spans="1:13" x14ac:dyDescent="0.25">
      <c r="A882" s="1" t="s">
        <v>146</v>
      </c>
      <c r="B882" s="1" t="s">
        <v>34</v>
      </c>
      <c r="C882" s="1" t="s">
        <v>14</v>
      </c>
      <c r="D882">
        <v>8</v>
      </c>
      <c r="E882">
        <v>25</v>
      </c>
      <c r="F882">
        <v>3.12</v>
      </c>
      <c r="J882" s="1" t="s">
        <v>15</v>
      </c>
      <c r="K882">
        <v>1</v>
      </c>
      <c r="L882">
        <v>0</v>
      </c>
      <c r="M882" t="str">
        <f>IF(tblPenalties[[#This Row],[total_yards]]=0, "Declined", "Accepted")</f>
        <v>Accepted</v>
      </c>
    </row>
    <row r="883" spans="1:13" x14ac:dyDescent="0.25">
      <c r="A883" s="1" t="s">
        <v>126</v>
      </c>
      <c r="B883" s="1" t="s">
        <v>19</v>
      </c>
      <c r="C883" s="1" t="s">
        <v>14</v>
      </c>
      <c r="D883">
        <v>22</v>
      </c>
      <c r="E883">
        <v>55</v>
      </c>
      <c r="F883">
        <v>2.5</v>
      </c>
      <c r="J883" s="1" t="s">
        <v>15</v>
      </c>
      <c r="K883">
        <v>1</v>
      </c>
      <c r="L883">
        <v>0</v>
      </c>
      <c r="M883" t="str">
        <f>IF(tblPenalties[[#This Row],[total_yards]]=0, "Declined", "Accepted")</f>
        <v>Accepted</v>
      </c>
    </row>
    <row r="884" spans="1:13" x14ac:dyDescent="0.25">
      <c r="A884" s="1" t="s">
        <v>20</v>
      </c>
      <c r="B884" s="1" t="s">
        <v>21</v>
      </c>
      <c r="C884" s="1" t="s">
        <v>14</v>
      </c>
      <c r="D884">
        <v>10</v>
      </c>
      <c r="E884">
        <v>48</v>
      </c>
      <c r="F884">
        <v>4.8</v>
      </c>
      <c r="J884" s="1" t="s">
        <v>15</v>
      </c>
      <c r="K884">
        <v>1</v>
      </c>
      <c r="L884">
        <v>0</v>
      </c>
      <c r="M884" t="str">
        <f>IF(tblPenalties[[#This Row],[total_yards]]=0, "Declined", "Accepted")</f>
        <v>Accepted</v>
      </c>
    </row>
    <row r="885" spans="1:13" x14ac:dyDescent="0.25">
      <c r="A885" s="1" t="s">
        <v>25</v>
      </c>
      <c r="B885" s="1" t="s">
        <v>26</v>
      </c>
      <c r="C885" s="1" t="s">
        <v>14</v>
      </c>
      <c r="D885">
        <v>22</v>
      </c>
      <c r="E885">
        <v>105</v>
      </c>
      <c r="F885">
        <v>4.7699999999999996</v>
      </c>
      <c r="J885" s="1" t="s">
        <v>15</v>
      </c>
      <c r="K885">
        <v>1</v>
      </c>
      <c r="L885">
        <v>0</v>
      </c>
      <c r="M885" t="str">
        <f>IF(tblPenalties[[#This Row],[total_yards]]=0, "Declined", "Accepted")</f>
        <v>Accepted</v>
      </c>
    </row>
    <row r="886" spans="1:13" x14ac:dyDescent="0.25">
      <c r="A886" s="1" t="s">
        <v>27</v>
      </c>
      <c r="B886" s="1" t="s">
        <v>28</v>
      </c>
      <c r="C886" s="1" t="s">
        <v>14</v>
      </c>
      <c r="D886">
        <v>15</v>
      </c>
      <c r="E886">
        <v>50</v>
      </c>
      <c r="F886">
        <v>3.33</v>
      </c>
      <c r="J886" s="1" t="s">
        <v>15</v>
      </c>
      <c r="K886">
        <v>1</v>
      </c>
      <c r="L886">
        <v>0</v>
      </c>
      <c r="M886" t="str">
        <f>IF(tblPenalties[[#This Row],[total_yards]]=0, "Declined", "Accepted")</f>
        <v>Accepted</v>
      </c>
    </row>
    <row r="887" spans="1:13" x14ac:dyDescent="0.25">
      <c r="A887" s="1" t="s">
        <v>30</v>
      </c>
      <c r="B887" s="1" t="s">
        <v>21</v>
      </c>
      <c r="C887" s="1" t="s">
        <v>14</v>
      </c>
      <c r="D887">
        <v>11</v>
      </c>
      <c r="E887">
        <v>25</v>
      </c>
      <c r="F887">
        <v>2.27</v>
      </c>
      <c r="J887" s="1" t="s">
        <v>15</v>
      </c>
      <c r="K887">
        <v>1</v>
      </c>
      <c r="L887">
        <v>0</v>
      </c>
      <c r="M887" t="str">
        <f>IF(tblPenalties[[#This Row],[total_yards]]=0, "Declined", "Accepted")</f>
        <v>Accepted</v>
      </c>
    </row>
    <row r="888" spans="1:13" x14ac:dyDescent="0.25">
      <c r="A888" s="1" t="s">
        <v>136</v>
      </c>
      <c r="B888" s="1" t="s">
        <v>21</v>
      </c>
      <c r="C888" s="1" t="s">
        <v>14</v>
      </c>
      <c r="D888">
        <v>16</v>
      </c>
      <c r="E888">
        <v>60</v>
      </c>
      <c r="F888">
        <v>3.75</v>
      </c>
      <c r="J888" s="1" t="s">
        <v>15</v>
      </c>
      <c r="K888">
        <v>1</v>
      </c>
      <c r="L888">
        <v>0</v>
      </c>
      <c r="M888" t="str">
        <f>IF(tblPenalties[[#This Row],[total_yards]]=0, "Declined", "Accepted")</f>
        <v>Accepted</v>
      </c>
    </row>
    <row r="889" spans="1:13" x14ac:dyDescent="0.25">
      <c r="A889" s="1" t="s">
        <v>33</v>
      </c>
      <c r="B889" s="1" t="s">
        <v>34</v>
      </c>
      <c r="C889" s="1" t="s">
        <v>14</v>
      </c>
      <c r="D889">
        <v>15</v>
      </c>
      <c r="E889">
        <v>53</v>
      </c>
      <c r="F889">
        <v>3.53</v>
      </c>
      <c r="J889" s="1" t="s">
        <v>15</v>
      </c>
      <c r="K889">
        <v>1</v>
      </c>
      <c r="L889">
        <v>0</v>
      </c>
      <c r="M889" t="str">
        <f>IF(tblPenalties[[#This Row],[total_yards]]=0, "Declined", "Accepted")</f>
        <v>Accepted</v>
      </c>
    </row>
    <row r="890" spans="1:13" x14ac:dyDescent="0.25">
      <c r="A890" s="1" t="s">
        <v>35</v>
      </c>
      <c r="B890" s="1" t="s">
        <v>28</v>
      </c>
      <c r="C890" s="1" t="s">
        <v>14</v>
      </c>
      <c r="D890">
        <v>7</v>
      </c>
      <c r="E890">
        <v>30</v>
      </c>
      <c r="F890">
        <v>4.29</v>
      </c>
      <c r="J890" s="1" t="s">
        <v>15</v>
      </c>
      <c r="K890">
        <v>1</v>
      </c>
      <c r="L890">
        <v>0</v>
      </c>
      <c r="M890" t="str">
        <f>IF(tblPenalties[[#This Row],[total_yards]]=0, "Declined", "Accepted")</f>
        <v>Accepted</v>
      </c>
    </row>
    <row r="891" spans="1:13" x14ac:dyDescent="0.25">
      <c r="A891" s="1" t="s">
        <v>137</v>
      </c>
      <c r="B891" s="1" t="s">
        <v>28</v>
      </c>
      <c r="C891" s="1" t="s">
        <v>14</v>
      </c>
      <c r="D891">
        <v>7</v>
      </c>
      <c r="E891">
        <v>37</v>
      </c>
      <c r="F891">
        <v>5.29</v>
      </c>
      <c r="J891" s="1" t="s">
        <v>15</v>
      </c>
      <c r="K891">
        <v>1</v>
      </c>
      <c r="L891">
        <v>0</v>
      </c>
      <c r="M891" t="str">
        <f>IF(tblPenalties[[#This Row],[total_yards]]=0, "Declined", "Accepted")</f>
        <v>Accepted</v>
      </c>
    </row>
    <row r="892" spans="1:13" x14ac:dyDescent="0.25">
      <c r="A892" s="1" t="s">
        <v>127</v>
      </c>
      <c r="B892" s="1" t="s">
        <v>34</v>
      </c>
      <c r="C892" s="1" t="s">
        <v>14</v>
      </c>
      <c r="D892">
        <v>17</v>
      </c>
      <c r="E892">
        <v>76</v>
      </c>
      <c r="F892">
        <v>4.47</v>
      </c>
      <c r="J892" s="1" t="s">
        <v>15</v>
      </c>
      <c r="K892">
        <v>1</v>
      </c>
      <c r="L892">
        <v>0</v>
      </c>
      <c r="M892" t="str">
        <f>IF(tblPenalties[[#This Row],[total_yards]]=0, "Declined", "Accepted")</f>
        <v>Accepted</v>
      </c>
    </row>
    <row r="893" spans="1:13" x14ac:dyDescent="0.25">
      <c r="A893" s="1" t="s">
        <v>44</v>
      </c>
      <c r="B893" s="1" t="s">
        <v>19</v>
      </c>
      <c r="C893" s="1" t="s">
        <v>14</v>
      </c>
      <c r="D893">
        <v>13</v>
      </c>
      <c r="E893">
        <v>45</v>
      </c>
      <c r="F893">
        <v>3.46</v>
      </c>
      <c r="J893" s="1" t="s">
        <v>15</v>
      </c>
      <c r="K893">
        <v>1</v>
      </c>
      <c r="L893">
        <v>0</v>
      </c>
      <c r="M893" t="str">
        <f>IF(tblPenalties[[#This Row],[total_yards]]=0, "Declined", "Accepted")</f>
        <v>Accepted</v>
      </c>
    </row>
    <row r="894" spans="1:13" x14ac:dyDescent="0.25">
      <c r="A894" s="1" t="s">
        <v>45</v>
      </c>
      <c r="B894" s="1" t="s">
        <v>28</v>
      </c>
      <c r="C894" s="1" t="s">
        <v>14</v>
      </c>
      <c r="D894">
        <v>9</v>
      </c>
      <c r="E894">
        <v>30</v>
      </c>
      <c r="F894">
        <v>3.33</v>
      </c>
      <c r="J894" s="1" t="s">
        <v>15</v>
      </c>
      <c r="K894">
        <v>1</v>
      </c>
      <c r="L894">
        <v>0</v>
      </c>
      <c r="M894" t="str">
        <f>IF(tblPenalties[[#This Row],[total_yards]]=0, "Declined", "Accepted")</f>
        <v>Accepted</v>
      </c>
    </row>
    <row r="895" spans="1:13" x14ac:dyDescent="0.25">
      <c r="A895" s="1" t="s">
        <v>46</v>
      </c>
      <c r="B895" s="1" t="s">
        <v>26</v>
      </c>
      <c r="C895" s="1" t="s">
        <v>14</v>
      </c>
      <c r="D895">
        <v>14</v>
      </c>
      <c r="E895">
        <v>74</v>
      </c>
      <c r="F895">
        <v>5.29</v>
      </c>
      <c r="J895" s="1" t="s">
        <v>15</v>
      </c>
      <c r="K895">
        <v>1</v>
      </c>
      <c r="L895">
        <v>0</v>
      </c>
      <c r="M895" t="str">
        <f>IF(tblPenalties[[#This Row],[total_yards]]=0, "Declined", "Accepted")</f>
        <v>Accepted</v>
      </c>
    </row>
    <row r="896" spans="1:13" x14ac:dyDescent="0.25">
      <c r="A896" s="1" t="s">
        <v>147</v>
      </c>
      <c r="B896" s="1" t="s">
        <v>13</v>
      </c>
      <c r="C896" s="1" t="s">
        <v>14</v>
      </c>
      <c r="D896">
        <v>23</v>
      </c>
      <c r="E896">
        <v>104</v>
      </c>
      <c r="F896">
        <v>4.5199999999999996</v>
      </c>
      <c r="J896" s="1" t="s">
        <v>15</v>
      </c>
      <c r="K896">
        <v>1</v>
      </c>
      <c r="L896">
        <v>0</v>
      </c>
      <c r="M896" t="str">
        <f>IF(tblPenalties[[#This Row],[total_yards]]=0, "Declined", "Accepted")</f>
        <v>Accepted</v>
      </c>
    </row>
    <row r="897" spans="1:13" x14ac:dyDescent="0.25">
      <c r="A897" s="1" t="s">
        <v>48</v>
      </c>
      <c r="B897" s="1" t="s">
        <v>26</v>
      </c>
      <c r="C897" s="1" t="s">
        <v>14</v>
      </c>
      <c r="D897">
        <v>14</v>
      </c>
      <c r="E897">
        <v>56</v>
      </c>
      <c r="F897">
        <v>4</v>
      </c>
      <c r="J897" s="1" t="s">
        <v>15</v>
      </c>
      <c r="K897">
        <v>1</v>
      </c>
      <c r="L897">
        <v>0</v>
      </c>
      <c r="M897" t="str">
        <f>IF(tblPenalties[[#This Row],[total_yards]]=0, "Declined", "Accepted")</f>
        <v>Accepted</v>
      </c>
    </row>
    <row r="898" spans="1:13" x14ac:dyDescent="0.25">
      <c r="A898" s="1" t="s">
        <v>50</v>
      </c>
      <c r="B898" s="1" t="s">
        <v>17</v>
      </c>
      <c r="C898" s="1" t="s">
        <v>14</v>
      </c>
      <c r="D898">
        <v>17</v>
      </c>
      <c r="E898">
        <v>45</v>
      </c>
      <c r="F898">
        <v>2.65</v>
      </c>
      <c r="J898" s="1" t="s">
        <v>15</v>
      </c>
      <c r="K898">
        <v>1</v>
      </c>
      <c r="L898">
        <v>0</v>
      </c>
      <c r="M898" t="str">
        <f>IF(tblPenalties[[#This Row],[total_yards]]=0, "Declined", "Accepted")</f>
        <v>Accepted</v>
      </c>
    </row>
    <row r="899" spans="1:13" x14ac:dyDescent="0.25">
      <c r="A899" s="1" t="s">
        <v>51</v>
      </c>
      <c r="B899" s="1" t="s">
        <v>52</v>
      </c>
      <c r="C899" s="1" t="s">
        <v>14</v>
      </c>
      <c r="D899">
        <v>12</v>
      </c>
      <c r="E899">
        <v>50</v>
      </c>
      <c r="F899">
        <v>4.17</v>
      </c>
      <c r="J899" s="1" t="s">
        <v>15</v>
      </c>
      <c r="K899">
        <v>1</v>
      </c>
      <c r="L899">
        <v>0</v>
      </c>
      <c r="M899" t="str">
        <f>IF(tblPenalties[[#This Row],[total_yards]]=0, "Declined", "Accepted")</f>
        <v>Accepted</v>
      </c>
    </row>
    <row r="900" spans="1:13" x14ac:dyDescent="0.25">
      <c r="A900" s="1" t="s">
        <v>53</v>
      </c>
      <c r="B900" s="1" t="s">
        <v>17</v>
      </c>
      <c r="C900" s="1" t="s">
        <v>14</v>
      </c>
      <c r="D900">
        <v>8</v>
      </c>
      <c r="E900">
        <v>39</v>
      </c>
      <c r="F900">
        <v>4.88</v>
      </c>
      <c r="J900" s="1" t="s">
        <v>15</v>
      </c>
      <c r="K900">
        <v>1</v>
      </c>
      <c r="L900">
        <v>0</v>
      </c>
      <c r="M900" t="str">
        <f>IF(tblPenalties[[#This Row],[total_yards]]=0, "Declined", "Accepted")</f>
        <v>Accepted</v>
      </c>
    </row>
    <row r="901" spans="1:13" x14ac:dyDescent="0.25">
      <c r="A901" s="1" t="s">
        <v>54</v>
      </c>
      <c r="B901" s="1" t="s">
        <v>13</v>
      </c>
      <c r="C901" s="1" t="s">
        <v>14</v>
      </c>
      <c r="D901">
        <v>7</v>
      </c>
      <c r="E901">
        <v>25</v>
      </c>
      <c r="F901">
        <v>3.57</v>
      </c>
      <c r="J901" s="1" t="s">
        <v>15</v>
      </c>
      <c r="K901">
        <v>1</v>
      </c>
      <c r="L901">
        <v>0</v>
      </c>
      <c r="M901" t="str">
        <f>IF(tblPenalties[[#This Row],[total_yards]]=0, "Declined", "Accepted")</f>
        <v>Accepted</v>
      </c>
    </row>
    <row r="902" spans="1:13" x14ac:dyDescent="0.25">
      <c r="A902" s="1" t="s">
        <v>138</v>
      </c>
      <c r="B902" s="1" t="s">
        <v>17</v>
      </c>
      <c r="C902" s="1" t="s">
        <v>14</v>
      </c>
      <c r="D902">
        <v>9</v>
      </c>
      <c r="E902">
        <v>44</v>
      </c>
      <c r="F902">
        <v>4.8899999999999997</v>
      </c>
      <c r="J902" s="1" t="s">
        <v>15</v>
      </c>
      <c r="K902">
        <v>1</v>
      </c>
      <c r="L902">
        <v>0</v>
      </c>
      <c r="M902" t="str">
        <f>IF(tblPenalties[[#This Row],[total_yards]]=0, "Declined", "Accepted")</f>
        <v>Accepted</v>
      </c>
    </row>
    <row r="903" spans="1:13" x14ac:dyDescent="0.25">
      <c r="A903" s="1" t="s">
        <v>139</v>
      </c>
      <c r="B903" s="1" t="s">
        <v>17</v>
      </c>
      <c r="C903" s="1" t="s">
        <v>14</v>
      </c>
      <c r="D903">
        <v>3</v>
      </c>
      <c r="E903">
        <v>10</v>
      </c>
      <c r="F903">
        <v>3.33</v>
      </c>
      <c r="J903" s="1" t="s">
        <v>15</v>
      </c>
      <c r="K903">
        <v>1</v>
      </c>
      <c r="L903">
        <v>0</v>
      </c>
      <c r="M903" t="str">
        <f>IF(tblPenalties[[#This Row],[total_yards]]=0, "Declined", "Accepted")</f>
        <v>Accepted</v>
      </c>
    </row>
    <row r="904" spans="1:13" x14ac:dyDescent="0.25">
      <c r="A904" s="1" t="s">
        <v>116</v>
      </c>
      <c r="B904" s="1" t="s">
        <v>21</v>
      </c>
      <c r="C904" s="1" t="s">
        <v>14</v>
      </c>
      <c r="D904">
        <v>14</v>
      </c>
      <c r="E904">
        <v>58</v>
      </c>
      <c r="F904">
        <v>4.1399999999999997</v>
      </c>
      <c r="J904" s="1" t="s">
        <v>15</v>
      </c>
      <c r="K904">
        <v>1</v>
      </c>
      <c r="L904">
        <v>0</v>
      </c>
      <c r="M904" t="str">
        <f>IF(tblPenalties[[#This Row],[total_yards]]=0, "Declined", "Accepted")</f>
        <v>Accepted</v>
      </c>
    </row>
    <row r="905" spans="1:13" x14ac:dyDescent="0.25">
      <c r="A905" s="1" t="s">
        <v>58</v>
      </c>
      <c r="B905" s="1" t="s">
        <v>19</v>
      </c>
      <c r="C905" s="1" t="s">
        <v>14</v>
      </c>
      <c r="D905">
        <v>19</v>
      </c>
      <c r="E905">
        <v>64</v>
      </c>
      <c r="F905">
        <v>3.37</v>
      </c>
      <c r="J905" s="1" t="s">
        <v>15</v>
      </c>
      <c r="K905">
        <v>1</v>
      </c>
      <c r="L905">
        <v>0</v>
      </c>
      <c r="M905" t="str">
        <f>IF(tblPenalties[[#This Row],[total_yards]]=0, "Declined", "Accepted")</f>
        <v>Accepted</v>
      </c>
    </row>
    <row r="906" spans="1:13" x14ac:dyDescent="0.25">
      <c r="A906" s="1" t="s">
        <v>60</v>
      </c>
      <c r="B906" s="1" t="s">
        <v>40</v>
      </c>
      <c r="C906" s="1" t="s">
        <v>14</v>
      </c>
      <c r="D906">
        <v>8</v>
      </c>
      <c r="E906">
        <v>35</v>
      </c>
      <c r="F906">
        <v>4.38</v>
      </c>
      <c r="J906" s="1" t="s">
        <v>15</v>
      </c>
      <c r="K906">
        <v>1</v>
      </c>
      <c r="L906">
        <v>0</v>
      </c>
      <c r="M906" t="str">
        <f>IF(tblPenalties[[#This Row],[total_yards]]=0, "Declined", "Accepted")</f>
        <v>Accepted</v>
      </c>
    </row>
    <row r="907" spans="1:13" x14ac:dyDescent="0.25">
      <c r="A907" s="1" t="s">
        <v>61</v>
      </c>
      <c r="B907" s="1" t="s">
        <v>13</v>
      </c>
      <c r="C907" s="1" t="s">
        <v>14</v>
      </c>
      <c r="D907">
        <v>16</v>
      </c>
      <c r="E907">
        <v>76</v>
      </c>
      <c r="F907">
        <v>4.75</v>
      </c>
      <c r="J907" s="1" t="s">
        <v>15</v>
      </c>
      <c r="K907">
        <v>1</v>
      </c>
      <c r="L907">
        <v>0</v>
      </c>
      <c r="M907" t="str">
        <f>IF(tblPenalties[[#This Row],[total_yards]]=0, "Declined", "Accepted")</f>
        <v>Accepted</v>
      </c>
    </row>
    <row r="908" spans="1:13" x14ac:dyDescent="0.25">
      <c r="A908" s="1" t="s">
        <v>62</v>
      </c>
      <c r="B908" s="1" t="s">
        <v>40</v>
      </c>
      <c r="C908" s="1" t="s">
        <v>14</v>
      </c>
      <c r="D908">
        <v>6</v>
      </c>
      <c r="E908">
        <v>25</v>
      </c>
      <c r="F908">
        <v>4.17</v>
      </c>
      <c r="J908" s="1" t="s">
        <v>15</v>
      </c>
      <c r="K908">
        <v>1</v>
      </c>
      <c r="L908">
        <v>0</v>
      </c>
      <c r="M908" t="str">
        <f>IF(tblPenalties[[#This Row],[total_yards]]=0, "Declined", "Accepted")</f>
        <v>Accepted</v>
      </c>
    </row>
    <row r="909" spans="1:13" x14ac:dyDescent="0.25">
      <c r="A909" s="1" t="s">
        <v>64</v>
      </c>
      <c r="B909" s="1" t="s">
        <v>52</v>
      </c>
      <c r="C909" s="1" t="s">
        <v>14</v>
      </c>
      <c r="D909">
        <v>9</v>
      </c>
      <c r="E909">
        <v>40</v>
      </c>
      <c r="F909">
        <v>4.4400000000000004</v>
      </c>
      <c r="J909" s="1" t="s">
        <v>15</v>
      </c>
      <c r="K909">
        <v>1</v>
      </c>
      <c r="L909">
        <v>0</v>
      </c>
      <c r="M909" t="str">
        <f>IF(tblPenalties[[#This Row],[total_yards]]=0, "Declined", "Accepted")</f>
        <v>Accepted</v>
      </c>
    </row>
    <row r="910" spans="1:13" x14ac:dyDescent="0.25">
      <c r="A910" s="1" t="s">
        <v>65</v>
      </c>
      <c r="B910" s="1" t="s">
        <v>34</v>
      </c>
      <c r="C910" s="1" t="s">
        <v>14</v>
      </c>
      <c r="D910">
        <v>19</v>
      </c>
      <c r="E910">
        <v>94</v>
      </c>
      <c r="F910">
        <v>4.95</v>
      </c>
      <c r="J910" s="1" t="s">
        <v>15</v>
      </c>
      <c r="K910">
        <v>1</v>
      </c>
      <c r="L910">
        <v>0</v>
      </c>
      <c r="M910" t="str">
        <f>IF(tblPenalties[[#This Row],[total_yards]]=0, "Declined", "Accepted")</f>
        <v>Accepted</v>
      </c>
    </row>
    <row r="911" spans="1:13" x14ac:dyDescent="0.25">
      <c r="A911" s="1" t="s">
        <v>67</v>
      </c>
      <c r="B911" s="1" t="s">
        <v>52</v>
      </c>
      <c r="C911" s="1" t="s">
        <v>14</v>
      </c>
      <c r="D911">
        <v>13</v>
      </c>
      <c r="E911">
        <v>60</v>
      </c>
      <c r="F911">
        <v>4.62</v>
      </c>
      <c r="J911" s="1" t="s">
        <v>15</v>
      </c>
      <c r="K911">
        <v>1</v>
      </c>
      <c r="L911">
        <v>0</v>
      </c>
      <c r="M911" t="str">
        <f>IF(tblPenalties[[#This Row],[total_yards]]=0, "Declined", "Accepted")</f>
        <v>Accepted</v>
      </c>
    </row>
    <row r="912" spans="1:13" x14ac:dyDescent="0.25">
      <c r="A912" s="1" t="s">
        <v>119</v>
      </c>
      <c r="B912" s="1" t="s">
        <v>52</v>
      </c>
      <c r="C912" s="1" t="s">
        <v>14</v>
      </c>
      <c r="D912">
        <v>7</v>
      </c>
      <c r="E912">
        <v>20</v>
      </c>
      <c r="F912">
        <v>2.86</v>
      </c>
      <c r="J912" s="1" t="s">
        <v>15</v>
      </c>
      <c r="K912">
        <v>1</v>
      </c>
      <c r="L912">
        <v>0</v>
      </c>
      <c r="M912" t="str">
        <f>IF(tblPenalties[[#This Row],[total_yards]]=0, "Declined", "Accepted")</f>
        <v>Accepted</v>
      </c>
    </row>
    <row r="913" spans="1:13" x14ac:dyDescent="0.25">
      <c r="A913" s="1" t="s">
        <v>68</v>
      </c>
      <c r="B913" s="1" t="s">
        <v>19</v>
      </c>
      <c r="C913" s="1" t="s">
        <v>14</v>
      </c>
      <c r="D913">
        <v>15</v>
      </c>
      <c r="E913">
        <v>60</v>
      </c>
      <c r="F913">
        <v>4</v>
      </c>
      <c r="J913" s="1" t="s">
        <v>15</v>
      </c>
      <c r="K913">
        <v>1</v>
      </c>
      <c r="L913">
        <v>0</v>
      </c>
      <c r="M913" t="str">
        <f>IF(tblPenalties[[#This Row],[total_yards]]=0, "Declined", "Accepted")</f>
        <v>Accepted</v>
      </c>
    </row>
    <row r="914" spans="1:13" x14ac:dyDescent="0.25">
      <c r="A914" s="1" t="s">
        <v>71</v>
      </c>
      <c r="B914" s="1" t="s">
        <v>34</v>
      </c>
      <c r="C914" s="1" t="s">
        <v>14</v>
      </c>
      <c r="D914">
        <v>13</v>
      </c>
      <c r="E914">
        <v>50</v>
      </c>
      <c r="F914">
        <v>3.85</v>
      </c>
      <c r="J914" s="1" t="s">
        <v>15</v>
      </c>
      <c r="K914">
        <v>1</v>
      </c>
      <c r="L914">
        <v>0</v>
      </c>
      <c r="M914" t="str">
        <f>IF(tblPenalties[[#This Row],[total_yards]]=0, "Declined", "Accepted")</f>
        <v>Accepted</v>
      </c>
    </row>
    <row r="915" spans="1:13" x14ac:dyDescent="0.25">
      <c r="A915" s="1" t="s">
        <v>121</v>
      </c>
      <c r="B915" s="1" t="s">
        <v>28</v>
      </c>
      <c r="C915" s="1" t="s">
        <v>14</v>
      </c>
      <c r="D915">
        <v>9</v>
      </c>
      <c r="E915">
        <v>38</v>
      </c>
      <c r="F915">
        <v>4.22</v>
      </c>
      <c r="J915" s="1" t="s">
        <v>15</v>
      </c>
      <c r="K915">
        <v>1</v>
      </c>
      <c r="L915">
        <v>0</v>
      </c>
      <c r="M915" t="str">
        <f>IF(tblPenalties[[#This Row],[total_yards]]=0, "Declined", "Accepted")</f>
        <v>Accepted</v>
      </c>
    </row>
    <row r="916" spans="1:13" x14ac:dyDescent="0.25">
      <c r="A916" s="1" t="s">
        <v>72</v>
      </c>
      <c r="B916" s="1" t="s">
        <v>34</v>
      </c>
      <c r="C916" s="1" t="s">
        <v>14</v>
      </c>
      <c r="D916">
        <v>15</v>
      </c>
      <c r="E916">
        <v>71</v>
      </c>
      <c r="F916">
        <v>4.7300000000000004</v>
      </c>
      <c r="J916" s="1" t="s">
        <v>15</v>
      </c>
      <c r="K916">
        <v>1</v>
      </c>
      <c r="L916">
        <v>0</v>
      </c>
      <c r="M916" t="str">
        <f>IF(tblPenalties[[#This Row],[total_yards]]=0, "Declined", "Accepted")</f>
        <v>Accepted</v>
      </c>
    </row>
    <row r="917" spans="1:13" x14ac:dyDescent="0.25">
      <c r="A917" s="1" t="s">
        <v>148</v>
      </c>
      <c r="B917" s="1" t="s">
        <v>52</v>
      </c>
      <c r="C917" s="1" t="s">
        <v>14</v>
      </c>
      <c r="D917">
        <v>7</v>
      </c>
      <c r="E917">
        <v>34</v>
      </c>
      <c r="F917">
        <v>4.8600000000000003</v>
      </c>
      <c r="J917" s="1" t="s">
        <v>15</v>
      </c>
      <c r="K917">
        <v>1</v>
      </c>
      <c r="L917">
        <v>0</v>
      </c>
      <c r="M917" t="str">
        <f>IF(tblPenalties[[#This Row],[total_yards]]=0, "Declined", "Accepted")</f>
        <v>Accepted</v>
      </c>
    </row>
    <row r="918" spans="1:13" x14ac:dyDescent="0.25">
      <c r="A918" s="1" t="s">
        <v>123</v>
      </c>
      <c r="B918" s="1" t="s">
        <v>26</v>
      </c>
      <c r="C918" s="1" t="s">
        <v>14</v>
      </c>
      <c r="D918">
        <v>10</v>
      </c>
      <c r="E918">
        <v>49</v>
      </c>
      <c r="F918">
        <v>4.9000000000000004</v>
      </c>
      <c r="J918" s="1" t="s">
        <v>15</v>
      </c>
      <c r="K918">
        <v>1</v>
      </c>
      <c r="L918">
        <v>0</v>
      </c>
      <c r="M918" t="str">
        <f>IF(tblPenalties[[#This Row],[total_yards]]=0, "Declined", "Accepted")</f>
        <v>Accepted</v>
      </c>
    </row>
    <row r="919" spans="1:13" x14ac:dyDescent="0.25">
      <c r="A919" s="1" t="s">
        <v>73</v>
      </c>
      <c r="B919" s="1" t="s">
        <v>26</v>
      </c>
      <c r="C919" s="1" t="s">
        <v>14</v>
      </c>
      <c r="D919">
        <v>10</v>
      </c>
      <c r="E919">
        <v>49</v>
      </c>
      <c r="F919">
        <v>4.9000000000000004</v>
      </c>
      <c r="J919" s="1" t="s">
        <v>15</v>
      </c>
      <c r="K919">
        <v>1</v>
      </c>
      <c r="L919">
        <v>0</v>
      </c>
      <c r="M919" t="str">
        <f>IF(tblPenalties[[#This Row],[total_yards]]=0, "Declined", "Accepted")</f>
        <v>Accepted</v>
      </c>
    </row>
    <row r="920" spans="1:13" x14ac:dyDescent="0.25">
      <c r="A920" s="1" t="s">
        <v>74</v>
      </c>
      <c r="B920" s="1" t="s">
        <v>40</v>
      </c>
      <c r="C920" s="1" t="s">
        <v>14</v>
      </c>
      <c r="D920">
        <v>18</v>
      </c>
      <c r="E920">
        <v>86</v>
      </c>
      <c r="F920">
        <v>4.78</v>
      </c>
      <c r="J920" s="1" t="s">
        <v>15</v>
      </c>
      <c r="K920">
        <v>1</v>
      </c>
      <c r="L920">
        <v>0</v>
      </c>
      <c r="M920" t="str">
        <f>IF(tblPenalties[[#This Row],[total_yards]]=0, "Declined", "Accepted")</f>
        <v>Accepted</v>
      </c>
    </row>
    <row r="921" spans="1:13" x14ac:dyDescent="0.25">
      <c r="A921" s="1" t="s">
        <v>150</v>
      </c>
      <c r="B921" s="1" t="s">
        <v>28</v>
      </c>
      <c r="C921" s="1" t="s">
        <v>14</v>
      </c>
      <c r="D921">
        <v>10</v>
      </c>
      <c r="E921">
        <v>37</v>
      </c>
      <c r="F921">
        <v>3.7</v>
      </c>
      <c r="J921" s="1" t="s">
        <v>15</v>
      </c>
      <c r="K921">
        <v>1</v>
      </c>
      <c r="L921">
        <v>0</v>
      </c>
      <c r="M921" t="str">
        <f>IF(tblPenalties[[#This Row],[total_yards]]=0, "Declined", "Accepted")</f>
        <v>Accepted</v>
      </c>
    </row>
    <row r="922" spans="1:13" x14ac:dyDescent="0.25">
      <c r="A922" s="1" t="s">
        <v>140</v>
      </c>
      <c r="B922" s="1" t="s">
        <v>52</v>
      </c>
      <c r="C922" s="1" t="s">
        <v>14</v>
      </c>
      <c r="D922">
        <v>6</v>
      </c>
      <c r="E922">
        <v>20</v>
      </c>
      <c r="F922">
        <v>3.33</v>
      </c>
      <c r="J922" s="1" t="s">
        <v>15</v>
      </c>
      <c r="K922">
        <v>1</v>
      </c>
      <c r="L922">
        <v>0</v>
      </c>
      <c r="M922" t="str">
        <f>IF(tblPenalties[[#This Row],[total_yards]]=0, "Declined", "Accepted")</f>
        <v>Accepted</v>
      </c>
    </row>
    <row r="923" spans="1:13" x14ac:dyDescent="0.25">
      <c r="A923" s="1" t="s">
        <v>75</v>
      </c>
      <c r="B923" s="1" t="s">
        <v>13</v>
      </c>
      <c r="C923" s="1" t="s">
        <v>14</v>
      </c>
      <c r="D923">
        <v>7</v>
      </c>
      <c r="E923">
        <v>25</v>
      </c>
      <c r="F923">
        <v>3.57</v>
      </c>
      <c r="J923" s="1" t="s">
        <v>15</v>
      </c>
      <c r="K923">
        <v>1</v>
      </c>
      <c r="L923">
        <v>0</v>
      </c>
      <c r="M923" t="str">
        <f>IF(tblPenalties[[#This Row],[total_yards]]=0, "Declined", "Accepted")</f>
        <v>Accepted</v>
      </c>
    </row>
    <row r="924" spans="1:13" x14ac:dyDescent="0.25">
      <c r="A924" s="1" t="s">
        <v>76</v>
      </c>
      <c r="B924" s="1" t="s">
        <v>21</v>
      </c>
      <c r="C924" s="1" t="s">
        <v>14</v>
      </c>
      <c r="D924">
        <v>16</v>
      </c>
      <c r="E924">
        <v>60</v>
      </c>
      <c r="F924">
        <v>3.75</v>
      </c>
      <c r="J924" s="1" t="s">
        <v>15</v>
      </c>
      <c r="K924">
        <v>1</v>
      </c>
      <c r="L924">
        <v>0</v>
      </c>
      <c r="M924" t="str">
        <f>IF(tblPenalties[[#This Row],[total_yards]]=0, "Declined", "Accepted")</f>
        <v>Accepted</v>
      </c>
    </row>
    <row r="925" spans="1:13" x14ac:dyDescent="0.25">
      <c r="A925" s="1" t="s">
        <v>77</v>
      </c>
      <c r="B925" s="1" t="s">
        <v>17</v>
      </c>
      <c r="C925" s="1" t="s">
        <v>14</v>
      </c>
      <c r="D925">
        <v>10</v>
      </c>
      <c r="E925">
        <v>25</v>
      </c>
      <c r="F925">
        <v>2.5</v>
      </c>
      <c r="J925" s="1" t="s">
        <v>15</v>
      </c>
      <c r="K925">
        <v>1</v>
      </c>
      <c r="L925">
        <v>0</v>
      </c>
      <c r="M925" t="str">
        <f>IF(tblPenalties[[#This Row],[total_yards]]=0, "Declined", "Accepted")</f>
        <v>Accepted</v>
      </c>
    </row>
    <row r="926" spans="1:13" x14ac:dyDescent="0.25">
      <c r="A926" s="1" t="s">
        <v>80</v>
      </c>
      <c r="B926" s="1" t="s">
        <v>52</v>
      </c>
      <c r="C926" s="1" t="s">
        <v>14</v>
      </c>
      <c r="D926">
        <v>9</v>
      </c>
      <c r="E926">
        <v>25</v>
      </c>
      <c r="F926">
        <v>2.78</v>
      </c>
      <c r="J926" s="1" t="s">
        <v>15</v>
      </c>
      <c r="K926">
        <v>1</v>
      </c>
      <c r="L926">
        <v>0</v>
      </c>
      <c r="M926" t="str">
        <f>IF(tblPenalties[[#This Row],[total_yards]]=0, "Declined", "Accepted")</f>
        <v>Accepted</v>
      </c>
    </row>
    <row r="927" spans="1:13" x14ac:dyDescent="0.25">
      <c r="A927" s="1" t="s">
        <v>82</v>
      </c>
      <c r="B927" s="1" t="s">
        <v>34</v>
      </c>
      <c r="C927" s="1" t="s">
        <v>14</v>
      </c>
      <c r="D927">
        <v>8</v>
      </c>
      <c r="E927">
        <v>35</v>
      </c>
      <c r="F927">
        <v>4.38</v>
      </c>
      <c r="J927" s="1" t="s">
        <v>15</v>
      </c>
      <c r="K927">
        <v>1</v>
      </c>
      <c r="L927">
        <v>0</v>
      </c>
      <c r="M927" t="str">
        <f>IF(tblPenalties[[#This Row],[total_yards]]=0, "Declined", "Accepted")</f>
        <v>Accepted</v>
      </c>
    </row>
    <row r="928" spans="1:13" x14ac:dyDescent="0.25">
      <c r="A928" s="1" t="s">
        <v>83</v>
      </c>
      <c r="B928" s="1" t="s">
        <v>52</v>
      </c>
      <c r="C928" s="1" t="s">
        <v>14</v>
      </c>
      <c r="D928">
        <v>8</v>
      </c>
      <c r="E928">
        <v>31</v>
      </c>
      <c r="F928">
        <v>3.88</v>
      </c>
      <c r="J928" s="1" t="s">
        <v>15</v>
      </c>
      <c r="K928">
        <v>1</v>
      </c>
      <c r="L928">
        <v>0</v>
      </c>
      <c r="M928" t="str">
        <f>IF(tblPenalties[[#This Row],[total_yards]]=0, "Declined", "Accepted")</f>
        <v>Accepted</v>
      </c>
    </row>
    <row r="929" spans="1:13" x14ac:dyDescent="0.25">
      <c r="A929" s="1" t="s">
        <v>84</v>
      </c>
      <c r="B929" s="1" t="s">
        <v>13</v>
      </c>
      <c r="C929" s="1" t="s">
        <v>14</v>
      </c>
      <c r="D929">
        <v>16</v>
      </c>
      <c r="E929">
        <v>55</v>
      </c>
      <c r="F929">
        <v>3.44</v>
      </c>
      <c r="J929" s="1" t="s">
        <v>15</v>
      </c>
      <c r="K929">
        <v>1</v>
      </c>
      <c r="L929">
        <v>0</v>
      </c>
      <c r="M929" t="str">
        <f>IF(tblPenalties[[#This Row],[total_yards]]=0, "Declined", "Accepted")</f>
        <v>Accepted</v>
      </c>
    </row>
    <row r="930" spans="1:13" x14ac:dyDescent="0.25">
      <c r="A930" s="1" t="s">
        <v>149</v>
      </c>
      <c r="B930" s="1" t="s">
        <v>26</v>
      </c>
      <c r="C930" s="1" t="s">
        <v>14</v>
      </c>
      <c r="D930">
        <v>14</v>
      </c>
      <c r="E930">
        <v>105</v>
      </c>
      <c r="F930">
        <v>7.5</v>
      </c>
      <c r="J930" s="1" t="s">
        <v>15</v>
      </c>
      <c r="K930">
        <v>1</v>
      </c>
      <c r="L930">
        <v>0</v>
      </c>
      <c r="M930" t="str">
        <f>IF(tblPenalties[[#This Row],[total_yards]]=0, "Declined", "Accepted")</f>
        <v>Accepted</v>
      </c>
    </row>
    <row r="931" spans="1:13" x14ac:dyDescent="0.25">
      <c r="A931" s="1" t="s">
        <v>88</v>
      </c>
      <c r="B931" s="1" t="s">
        <v>19</v>
      </c>
      <c r="C931" s="1" t="s">
        <v>14</v>
      </c>
      <c r="D931">
        <v>23</v>
      </c>
      <c r="E931">
        <v>108</v>
      </c>
      <c r="F931">
        <v>4.7</v>
      </c>
      <c r="J931" s="1" t="s">
        <v>15</v>
      </c>
      <c r="K931">
        <v>1</v>
      </c>
      <c r="L931">
        <v>0</v>
      </c>
      <c r="M931" t="str">
        <f>IF(tblPenalties[[#This Row],[total_yards]]=0, "Declined", "Accepted")</f>
        <v>Accepted</v>
      </c>
    </row>
    <row r="932" spans="1:13" x14ac:dyDescent="0.25">
      <c r="A932" s="1" t="s">
        <v>141</v>
      </c>
      <c r="B932" s="1" t="s">
        <v>28</v>
      </c>
      <c r="C932" s="1" t="s">
        <v>14</v>
      </c>
      <c r="D932">
        <v>10</v>
      </c>
      <c r="E932">
        <v>40</v>
      </c>
      <c r="F932">
        <v>4</v>
      </c>
      <c r="J932" s="1" t="s">
        <v>15</v>
      </c>
      <c r="K932">
        <v>1</v>
      </c>
      <c r="L932">
        <v>0</v>
      </c>
      <c r="M932" t="str">
        <f>IF(tblPenalties[[#This Row],[total_yards]]=0, "Declined", "Accepted")</f>
        <v>Accepted</v>
      </c>
    </row>
    <row r="933" spans="1:13" x14ac:dyDescent="0.25">
      <c r="A933" s="1" t="s">
        <v>91</v>
      </c>
      <c r="B933" s="1" t="s">
        <v>17</v>
      </c>
      <c r="C933" s="1" t="s">
        <v>14</v>
      </c>
      <c r="D933">
        <v>15</v>
      </c>
      <c r="E933">
        <v>65</v>
      </c>
      <c r="F933">
        <v>4.33</v>
      </c>
      <c r="J933" s="1" t="s">
        <v>15</v>
      </c>
      <c r="K933">
        <v>1</v>
      </c>
      <c r="L933">
        <v>0</v>
      </c>
      <c r="M933" t="str">
        <f>IF(tblPenalties[[#This Row],[total_yards]]=0, "Declined", "Accepted")</f>
        <v>Accepted</v>
      </c>
    </row>
    <row r="934" spans="1:13" x14ac:dyDescent="0.25">
      <c r="A934" s="1" t="s">
        <v>131</v>
      </c>
      <c r="B934" s="1" t="s">
        <v>13</v>
      </c>
      <c r="C934" s="1" t="s">
        <v>14</v>
      </c>
      <c r="D934">
        <v>10</v>
      </c>
      <c r="E934">
        <v>35</v>
      </c>
      <c r="F934">
        <v>3.5</v>
      </c>
      <c r="J934" s="1" t="s">
        <v>15</v>
      </c>
      <c r="K934">
        <v>1</v>
      </c>
      <c r="L934">
        <v>0</v>
      </c>
      <c r="M934" t="str">
        <f>IF(tblPenalties[[#This Row],[total_yards]]=0, "Declined", "Accepted")</f>
        <v>Accepted</v>
      </c>
    </row>
    <row r="935" spans="1:13" x14ac:dyDescent="0.25">
      <c r="A935" s="1" t="s">
        <v>93</v>
      </c>
      <c r="B935" s="1" t="s">
        <v>21</v>
      </c>
      <c r="C935" s="1" t="s">
        <v>14</v>
      </c>
      <c r="D935">
        <v>14</v>
      </c>
      <c r="E935">
        <v>69</v>
      </c>
      <c r="F935">
        <v>4.93</v>
      </c>
      <c r="J935" s="1" t="s">
        <v>15</v>
      </c>
      <c r="K935">
        <v>1</v>
      </c>
      <c r="L935">
        <v>0</v>
      </c>
      <c r="M935" t="str">
        <f>IF(tblPenalties[[#This Row],[total_yards]]=0, "Declined", "Accepted")</f>
        <v>Accepted</v>
      </c>
    </row>
    <row r="936" spans="1:13" x14ac:dyDescent="0.25">
      <c r="A936" s="1" t="s">
        <v>94</v>
      </c>
      <c r="B936" s="1" t="s">
        <v>13</v>
      </c>
      <c r="C936" s="1" t="s">
        <v>14</v>
      </c>
      <c r="D936">
        <v>10</v>
      </c>
      <c r="E936">
        <v>45</v>
      </c>
      <c r="F936">
        <v>4.5</v>
      </c>
      <c r="J936" s="1" t="s">
        <v>15</v>
      </c>
      <c r="K936">
        <v>1</v>
      </c>
      <c r="L936">
        <v>0</v>
      </c>
      <c r="M936" t="str">
        <f>IF(tblPenalties[[#This Row],[total_yards]]=0, "Declined", "Accepted")</f>
        <v>Accepted</v>
      </c>
    </row>
    <row r="937" spans="1:13" x14ac:dyDescent="0.25">
      <c r="A937" s="1" t="s">
        <v>95</v>
      </c>
      <c r="B937" s="1" t="s">
        <v>34</v>
      </c>
      <c r="C937" s="1" t="s">
        <v>14</v>
      </c>
      <c r="D937">
        <v>14</v>
      </c>
      <c r="E937">
        <v>59</v>
      </c>
      <c r="F937">
        <v>4.21</v>
      </c>
      <c r="J937" s="1" t="s">
        <v>15</v>
      </c>
      <c r="K937">
        <v>1</v>
      </c>
      <c r="L937">
        <v>0</v>
      </c>
      <c r="M937" t="str">
        <f>IF(tblPenalties[[#This Row],[total_yards]]=0, "Declined", "Accepted")</f>
        <v>Accepted</v>
      </c>
    </row>
    <row r="938" spans="1:13" x14ac:dyDescent="0.25">
      <c r="A938" s="1" t="s">
        <v>97</v>
      </c>
      <c r="B938" s="1" t="s">
        <v>34</v>
      </c>
      <c r="C938" s="1" t="s">
        <v>14</v>
      </c>
      <c r="D938">
        <v>17</v>
      </c>
      <c r="E938">
        <v>82</v>
      </c>
      <c r="F938">
        <v>4.82</v>
      </c>
      <c r="J938" s="1" t="s">
        <v>15</v>
      </c>
      <c r="K938">
        <v>1</v>
      </c>
      <c r="L938">
        <v>0</v>
      </c>
      <c r="M938" t="str">
        <f>IF(tblPenalties[[#This Row],[total_yards]]=0, "Declined", "Accepted")</f>
        <v>Accepted</v>
      </c>
    </row>
    <row r="939" spans="1:13" x14ac:dyDescent="0.25">
      <c r="A939" s="1" t="s">
        <v>98</v>
      </c>
      <c r="B939" s="1" t="s">
        <v>17</v>
      </c>
      <c r="C939" s="1" t="s">
        <v>14</v>
      </c>
      <c r="D939">
        <v>20</v>
      </c>
      <c r="E939">
        <v>90</v>
      </c>
      <c r="F939">
        <v>4.5</v>
      </c>
      <c r="J939" s="1" t="s">
        <v>15</v>
      </c>
      <c r="K939">
        <v>1</v>
      </c>
      <c r="L939">
        <v>0</v>
      </c>
      <c r="M939" t="str">
        <f>IF(tblPenalties[[#This Row],[total_yards]]=0, "Declined", "Accepted")</f>
        <v>Accepted</v>
      </c>
    </row>
    <row r="940" spans="1:13" x14ac:dyDescent="0.25">
      <c r="A940" s="1" t="s">
        <v>142</v>
      </c>
      <c r="B940" s="1" t="s">
        <v>52</v>
      </c>
      <c r="C940" s="1" t="s">
        <v>14</v>
      </c>
      <c r="D940">
        <v>22</v>
      </c>
      <c r="E940">
        <v>61</v>
      </c>
      <c r="F940">
        <v>2.77</v>
      </c>
      <c r="J940" s="1" t="s">
        <v>15</v>
      </c>
      <c r="K940">
        <v>1</v>
      </c>
      <c r="L940">
        <v>0</v>
      </c>
      <c r="M940" t="str">
        <f>IF(tblPenalties[[#This Row],[total_yards]]=0, "Declined", "Accepted")</f>
        <v>Accepted</v>
      </c>
    </row>
    <row r="941" spans="1:13" x14ac:dyDescent="0.25">
      <c r="A941" s="1" t="s">
        <v>151</v>
      </c>
      <c r="B941" s="1" t="s">
        <v>13</v>
      </c>
      <c r="C941" s="1" t="s">
        <v>14</v>
      </c>
      <c r="D941">
        <v>11</v>
      </c>
      <c r="E941">
        <v>28</v>
      </c>
      <c r="F941">
        <v>2.5499999999999998</v>
      </c>
      <c r="J941" s="1" t="s">
        <v>15</v>
      </c>
      <c r="K941">
        <v>1</v>
      </c>
      <c r="L941">
        <v>0</v>
      </c>
      <c r="M941" t="str">
        <f>IF(tblPenalties[[#This Row],[total_yards]]=0, "Declined", "Accepted")</f>
        <v>Accepted</v>
      </c>
    </row>
    <row r="942" spans="1:13" x14ac:dyDescent="0.25">
      <c r="A942" s="1" t="s">
        <v>101</v>
      </c>
      <c r="B942" s="1" t="s">
        <v>21</v>
      </c>
      <c r="C942" s="1" t="s">
        <v>14</v>
      </c>
      <c r="D942">
        <v>17</v>
      </c>
      <c r="E942">
        <v>57</v>
      </c>
      <c r="F942">
        <v>3.35</v>
      </c>
      <c r="J942" s="1" t="s">
        <v>15</v>
      </c>
      <c r="K942">
        <v>1</v>
      </c>
      <c r="L942">
        <v>0</v>
      </c>
      <c r="M942" t="str">
        <f>IF(tblPenalties[[#This Row],[total_yards]]=0, "Declined", "Accepted")</f>
        <v>Accepted</v>
      </c>
    </row>
    <row r="943" spans="1:13" x14ac:dyDescent="0.25">
      <c r="A943" s="1" t="s">
        <v>102</v>
      </c>
      <c r="B943" s="1" t="s">
        <v>26</v>
      </c>
      <c r="C943" s="1" t="s">
        <v>14</v>
      </c>
      <c r="D943">
        <v>13</v>
      </c>
      <c r="E943">
        <v>56</v>
      </c>
      <c r="F943">
        <v>4.3099999999999996</v>
      </c>
      <c r="J943" s="1" t="s">
        <v>15</v>
      </c>
      <c r="K943">
        <v>1</v>
      </c>
      <c r="L943">
        <v>0</v>
      </c>
      <c r="M943" t="str">
        <f>IF(tblPenalties[[#This Row],[total_yards]]=0, "Declined", "Accepted")</f>
        <v>Accepted</v>
      </c>
    </row>
    <row r="944" spans="1:13" x14ac:dyDescent="0.25">
      <c r="A944" s="1" t="s">
        <v>143</v>
      </c>
      <c r="B944" s="1" t="s">
        <v>40</v>
      </c>
      <c r="C944" s="1" t="s">
        <v>14</v>
      </c>
      <c r="D944">
        <v>4</v>
      </c>
      <c r="E944">
        <v>17</v>
      </c>
      <c r="F944">
        <v>4.25</v>
      </c>
      <c r="J944" s="1" t="s">
        <v>15</v>
      </c>
      <c r="K944">
        <v>1</v>
      </c>
      <c r="L944">
        <v>0</v>
      </c>
      <c r="M944" t="str">
        <f>IF(tblPenalties[[#This Row],[total_yards]]=0, "Declined", "Accepted")</f>
        <v>Accepted</v>
      </c>
    </row>
    <row r="945" spans="1:13" x14ac:dyDescent="0.25">
      <c r="A945" s="1" t="s">
        <v>104</v>
      </c>
      <c r="B945" s="1" t="s">
        <v>34</v>
      </c>
      <c r="C945" s="1" t="s">
        <v>14</v>
      </c>
      <c r="D945">
        <v>15</v>
      </c>
      <c r="E945">
        <v>78</v>
      </c>
      <c r="F945">
        <v>5.2</v>
      </c>
      <c r="J945" s="1" t="s">
        <v>15</v>
      </c>
      <c r="K945">
        <v>1</v>
      </c>
      <c r="L945">
        <v>0</v>
      </c>
      <c r="M945" t="str">
        <f>IF(tblPenalties[[#This Row],[total_yards]]=0, "Declined", "Accepted")</f>
        <v>Accepted</v>
      </c>
    </row>
    <row r="946" spans="1:13" x14ac:dyDescent="0.25">
      <c r="A946" s="1" t="s">
        <v>105</v>
      </c>
      <c r="B946" s="1" t="s">
        <v>26</v>
      </c>
      <c r="C946" s="1" t="s">
        <v>14</v>
      </c>
      <c r="D946">
        <v>10</v>
      </c>
      <c r="E946">
        <v>37</v>
      </c>
      <c r="F946">
        <v>3.7</v>
      </c>
      <c r="J946" s="1" t="s">
        <v>15</v>
      </c>
      <c r="K946">
        <v>1</v>
      </c>
      <c r="L946">
        <v>0</v>
      </c>
      <c r="M946" t="str">
        <f>IF(tblPenalties[[#This Row],[total_yards]]=0, "Declined", "Accepted")</f>
        <v>Accepted</v>
      </c>
    </row>
    <row r="947" spans="1:13" x14ac:dyDescent="0.25">
      <c r="A947" s="1" t="s">
        <v>106</v>
      </c>
      <c r="B947" s="1" t="s">
        <v>28</v>
      </c>
      <c r="C947" s="1" t="s">
        <v>14</v>
      </c>
      <c r="D947">
        <v>16</v>
      </c>
      <c r="E947">
        <v>70</v>
      </c>
      <c r="F947">
        <v>4.38</v>
      </c>
      <c r="J947" s="1" t="s">
        <v>15</v>
      </c>
      <c r="K947">
        <v>1</v>
      </c>
      <c r="L947">
        <v>0</v>
      </c>
      <c r="M947" t="str">
        <f>IF(tblPenalties[[#This Row],[total_yards]]=0, "Declined", "Accepted")</f>
        <v>Accepted</v>
      </c>
    </row>
    <row r="948" spans="1:13" x14ac:dyDescent="0.25">
      <c r="A948" s="1" t="s">
        <v>107</v>
      </c>
      <c r="B948" s="1" t="s">
        <v>21</v>
      </c>
      <c r="C948" s="1" t="s">
        <v>14</v>
      </c>
      <c r="D948">
        <v>4</v>
      </c>
      <c r="E948">
        <v>15</v>
      </c>
      <c r="F948">
        <v>3.75</v>
      </c>
      <c r="J948" s="1" t="s">
        <v>15</v>
      </c>
      <c r="K948">
        <v>1</v>
      </c>
      <c r="L948">
        <v>0</v>
      </c>
      <c r="M948" t="str">
        <f>IF(tblPenalties[[#This Row],[total_yards]]=0, "Declined", "Accepted")</f>
        <v>Accepted</v>
      </c>
    </row>
    <row r="949" spans="1:13" x14ac:dyDescent="0.25">
      <c r="A949" s="1" t="s">
        <v>132</v>
      </c>
      <c r="B949" s="1" t="s">
        <v>40</v>
      </c>
      <c r="C949" s="1" t="s">
        <v>14</v>
      </c>
      <c r="D949">
        <v>6</v>
      </c>
      <c r="E949">
        <v>29</v>
      </c>
      <c r="F949">
        <v>4.83</v>
      </c>
      <c r="J949" s="1" t="s">
        <v>15</v>
      </c>
      <c r="K949">
        <v>1</v>
      </c>
      <c r="L949">
        <v>0</v>
      </c>
      <c r="M949" t="str">
        <f>IF(tblPenalties[[#This Row],[total_yards]]=0, "Declined", "Accepted")</f>
        <v>Accepted</v>
      </c>
    </row>
    <row r="950" spans="1:13" x14ac:dyDescent="0.25">
      <c r="A950" s="1" t="s">
        <v>108</v>
      </c>
      <c r="B950" s="1" t="s">
        <v>28</v>
      </c>
      <c r="C950" s="1" t="s">
        <v>14</v>
      </c>
      <c r="D950">
        <v>15</v>
      </c>
      <c r="E950">
        <v>70</v>
      </c>
      <c r="F950">
        <v>4.67</v>
      </c>
      <c r="J950" s="1" t="s">
        <v>15</v>
      </c>
      <c r="K950">
        <v>1</v>
      </c>
      <c r="L950">
        <v>0</v>
      </c>
      <c r="M950" t="str">
        <f>IF(tblPenalties[[#This Row],[total_yards]]=0, "Declined", "Accepted")</f>
        <v>Accepted</v>
      </c>
    </row>
    <row r="951" spans="1:13" x14ac:dyDescent="0.25">
      <c r="A951" s="1" t="s">
        <v>133</v>
      </c>
      <c r="B951" s="1" t="s">
        <v>52</v>
      </c>
      <c r="C951" s="1" t="s">
        <v>14</v>
      </c>
      <c r="D951">
        <v>15</v>
      </c>
      <c r="E951">
        <v>70</v>
      </c>
      <c r="F951">
        <v>4.67</v>
      </c>
      <c r="J951" s="1" t="s">
        <v>15</v>
      </c>
      <c r="K951">
        <v>1</v>
      </c>
      <c r="L951">
        <v>0</v>
      </c>
      <c r="M951" t="str">
        <f>IF(tblPenalties[[#This Row],[total_yards]]=0, "Declined", "Accepted")</f>
        <v>Accepted</v>
      </c>
    </row>
    <row r="952" spans="1:13" x14ac:dyDescent="0.25">
      <c r="A952" s="1" t="s">
        <v>109</v>
      </c>
      <c r="B952" s="1" t="s">
        <v>79</v>
      </c>
      <c r="C952" s="1" t="s">
        <v>14</v>
      </c>
      <c r="D952">
        <v>17</v>
      </c>
      <c r="E952">
        <v>74</v>
      </c>
      <c r="F952">
        <v>4.3499999999999996</v>
      </c>
      <c r="J952" s="1" t="s">
        <v>15</v>
      </c>
      <c r="K952">
        <v>1</v>
      </c>
      <c r="L952">
        <v>0</v>
      </c>
      <c r="M952" t="str">
        <f>IF(tblPenalties[[#This Row],[total_yards]]=0, "Declined", "Accepted")</f>
        <v>Accepted</v>
      </c>
    </row>
    <row r="953" spans="1:13" x14ac:dyDescent="0.25">
      <c r="A953" s="1" t="s">
        <v>144</v>
      </c>
      <c r="B953" s="1" t="s">
        <v>26</v>
      </c>
      <c r="C953" s="1" t="s">
        <v>14</v>
      </c>
      <c r="D953">
        <v>17</v>
      </c>
      <c r="E953">
        <v>61</v>
      </c>
      <c r="F953">
        <v>3.59</v>
      </c>
      <c r="J953" s="1" t="s">
        <v>15</v>
      </c>
      <c r="K953">
        <v>1</v>
      </c>
      <c r="L953">
        <v>0</v>
      </c>
      <c r="M953" t="str">
        <f>IF(tblPenalties[[#This Row],[total_yards]]=0, "Declined", "Accepted")</f>
        <v>Accepted</v>
      </c>
    </row>
    <row r="954" spans="1:13" x14ac:dyDescent="0.25">
      <c r="A954" s="1" t="s">
        <v>134</v>
      </c>
      <c r="B954" s="1" t="s">
        <v>26</v>
      </c>
      <c r="C954" s="1" t="s">
        <v>23</v>
      </c>
      <c r="D954">
        <v>3</v>
      </c>
      <c r="E954">
        <v>11</v>
      </c>
      <c r="F954">
        <v>3.67</v>
      </c>
      <c r="J954" s="1" t="s">
        <v>15</v>
      </c>
      <c r="K954">
        <v>1</v>
      </c>
      <c r="L954">
        <v>0</v>
      </c>
      <c r="M954" t="str">
        <f>IF(tblPenalties[[#This Row],[total_yards]]=0, "Declined", "Accepted")</f>
        <v>Accepted</v>
      </c>
    </row>
    <row r="955" spans="1:13" x14ac:dyDescent="0.25">
      <c r="A955" s="1" t="s">
        <v>145</v>
      </c>
      <c r="B955" s="1" t="s">
        <v>21</v>
      </c>
      <c r="C955" s="1" t="s">
        <v>23</v>
      </c>
      <c r="D955">
        <v>1</v>
      </c>
      <c r="E955">
        <v>49</v>
      </c>
      <c r="F955">
        <v>49</v>
      </c>
      <c r="J955" s="1" t="s">
        <v>15</v>
      </c>
      <c r="K955">
        <v>1</v>
      </c>
      <c r="L955">
        <v>0</v>
      </c>
      <c r="M955" t="str">
        <f>IF(tblPenalties[[#This Row],[total_yards]]=0, "Declined", "Accepted")</f>
        <v>Accepted</v>
      </c>
    </row>
    <row r="956" spans="1:13" x14ac:dyDescent="0.25">
      <c r="A956" s="1" t="s">
        <v>12</v>
      </c>
      <c r="B956" s="1" t="s">
        <v>13</v>
      </c>
      <c r="C956" s="1" t="s">
        <v>23</v>
      </c>
      <c r="D956">
        <v>2</v>
      </c>
      <c r="E956">
        <v>13</v>
      </c>
      <c r="F956">
        <v>6.5</v>
      </c>
      <c r="J956" s="1" t="s">
        <v>15</v>
      </c>
      <c r="K956">
        <v>1</v>
      </c>
      <c r="L956">
        <v>0</v>
      </c>
      <c r="M956" t="str">
        <f>IF(tblPenalties[[#This Row],[total_yards]]=0, "Declined", "Accepted")</f>
        <v>Accepted</v>
      </c>
    </row>
    <row r="957" spans="1:13" x14ac:dyDescent="0.25">
      <c r="A957" s="1" t="s">
        <v>135</v>
      </c>
      <c r="B957" s="1" t="s">
        <v>17</v>
      </c>
      <c r="C957" s="1" t="s">
        <v>23</v>
      </c>
      <c r="D957">
        <v>2</v>
      </c>
      <c r="E957">
        <v>9</v>
      </c>
      <c r="F957">
        <v>4.5</v>
      </c>
      <c r="J957" s="1" t="s">
        <v>15</v>
      </c>
      <c r="K957">
        <v>1</v>
      </c>
      <c r="L957">
        <v>0</v>
      </c>
      <c r="M957" t="str">
        <f>IF(tblPenalties[[#This Row],[total_yards]]=0, "Declined", "Accepted")</f>
        <v>Accepted</v>
      </c>
    </row>
    <row r="958" spans="1:13" x14ac:dyDescent="0.25">
      <c r="A958" s="1" t="s">
        <v>18</v>
      </c>
      <c r="B958" s="1" t="s">
        <v>19</v>
      </c>
      <c r="C958" s="1" t="s">
        <v>23</v>
      </c>
      <c r="D958">
        <v>2</v>
      </c>
      <c r="E958">
        <v>16</v>
      </c>
      <c r="F958">
        <v>8</v>
      </c>
      <c r="J958" s="1" t="s">
        <v>15</v>
      </c>
      <c r="K958">
        <v>1</v>
      </c>
      <c r="L958">
        <v>0</v>
      </c>
      <c r="M958" t="str">
        <f>IF(tblPenalties[[#This Row],[total_yards]]=0, "Declined", "Accepted")</f>
        <v>Accepted</v>
      </c>
    </row>
    <row r="959" spans="1:13" x14ac:dyDescent="0.25">
      <c r="A959" s="1" t="s">
        <v>124</v>
      </c>
      <c r="B959" s="1" t="s">
        <v>13</v>
      </c>
      <c r="C959" s="1" t="s">
        <v>23</v>
      </c>
      <c r="D959">
        <v>3</v>
      </c>
      <c r="E959">
        <v>47</v>
      </c>
      <c r="F959">
        <v>15.67</v>
      </c>
      <c r="J959" s="1" t="s">
        <v>15</v>
      </c>
      <c r="K959">
        <v>1</v>
      </c>
      <c r="L959">
        <v>0</v>
      </c>
      <c r="M959" t="str">
        <f>IF(tblPenalties[[#This Row],[total_yards]]=0, "Declined", "Accepted")</f>
        <v>Accepted</v>
      </c>
    </row>
    <row r="960" spans="1:13" x14ac:dyDescent="0.25">
      <c r="A960" s="1" t="s">
        <v>146</v>
      </c>
      <c r="B960" s="1" t="s">
        <v>34</v>
      </c>
      <c r="C960" s="1" t="s">
        <v>23</v>
      </c>
      <c r="D960">
        <v>1</v>
      </c>
      <c r="E960">
        <v>16</v>
      </c>
      <c r="F960">
        <v>16</v>
      </c>
      <c r="J960" s="1" t="s">
        <v>15</v>
      </c>
      <c r="K960">
        <v>1</v>
      </c>
      <c r="L960">
        <v>0</v>
      </c>
      <c r="M960" t="str">
        <f>IF(tblPenalties[[#This Row],[total_yards]]=0, "Declined", "Accepted")</f>
        <v>Accepted</v>
      </c>
    </row>
    <row r="961" spans="1:13" x14ac:dyDescent="0.25">
      <c r="A961" s="1" t="s">
        <v>126</v>
      </c>
      <c r="B961" s="1" t="s">
        <v>19</v>
      </c>
      <c r="C961" s="1" t="s">
        <v>23</v>
      </c>
      <c r="D961">
        <v>2</v>
      </c>
      <c r="E961">
        <v>39</v>
      </c>
      <c r="F961">
        <v>19.5</v>
      </c>
      <c r="J961" s="1" t="s">
        <v>15</v>
      </c>
      <c r="K961">
        <v>1</v>
      </c>
      <c r="L961">
        <v>0</v>
      </c>
      <c r="M961" t="str">
        <f>IF(tblPenalties[[#This Row],[total_yards]]=0, "Declined", "Accepted")</f>
        <v>Accepted</v>
      </c>
    </row>
    <row r="962" spans="1:13" x14ac:dyDescent="0.25">
      <c r="A962" s="1" t="s">
        <v>24</v>
      </c>
      <c r="B962" s="1" t="s">
        <v>17</v>
      </c>
      <c r="C962" s="1" t="s">
        <v>23</v>
      </c>
      <c r="D962">
        <v>1</v>
      </c>
      <c r="E962">
        <v>2</v>
      </c>
      <c r="F962">
        <v>2</v>
      </c>
      <c r="J962" s="1" t="s">
        <v>15</v>
      </c>
      <c r="K962">
        <v>1</v>
      </c>
      <c r="L962">
        <v>0</v>
      </c>
      <c r="M962" t="str">
        <f>IF(tblPenalties[[#This Row],[total_yards]]=0, "Declined", "Accepted")</f>
        <v>Accepted</v>
      </c>
    </row>
    <row r="963" spans="1:13" x14ac:dyDescent="0.25">
      <c r="A963" s="1" t="s">
        <v>29</v>
      </c>
      <c r="B963" s="1" t="s">
        <v>21</v>
      </c>
      <c r="C963" s="1" t="s">
        <v>23</v>
      </c>
      <c r="D963">
        <v>1</v>
      </c>
      <c r="E963">
        <v>2</v>
      </c>
      <c r="F963">
        <v>2</v>
      </c>
      <c r="J963" s="1" t="s">
        <v>15</v>
      </c>
      <c r="K963">
        <v>1</v>
      </c>
      <c r="L963">
        <v>0</v>
      </c>
      <c r="M963" t="str">
        <f>IF(tblPenalties[[#This Row],[total_yards]]=0, "Declined", "Accepted")</f>
        <v>Accepted</v>
      </c>
    </row>
    <row r="964" spans="1:13" x14ac:dyDescent="0.25">
      <c r="A964" s="1" t="s">
        <v>32</v>
      </c>
      <c r="B964" s="1" t="s">
        <v>28</v>
      </c>
      <c r="C964" s="1" t="s">
        <v>23</v>
      </c>
      <c r="D964">
        <v>2</v>
      </c>
      <c r="E964">
        <v>13</v>
      </c>
      <c r="F964">
        <v>6.5</v>
      </c>
      <c r="J964" s="1" t="s">
        <v>15</v>
      </c>
      <c r="K964">
        <v>1</v>
      </c>
      <c r="L964">
        <v>0</v>
      </c>
      <c r="M964" t="str">
        <f>IF(tblPenalties[[#This Row],[total_yards]]=0, "Declined", "Accepted")</f>
        <v>Accepted</v>
      </c>
    </row>
    <row r="965" spans="1:13" x14ac:dyDescent="0.25">
      <c r="A965" s="1" t="s">
        <v>36</v>
      </c>
      <c r="B965" s="1" t="s">
        <v>13</v>
      </c>
      <c r="C965" s="1" t="s">
        <v>23</v>
      </c>
      <c r="D965">
        <v>2</v>
      </c>
      <c r="E965">
        <v>47</v>
      </c>
      <c r="F965">
        <v>23.5</v>
      </c>
      <c r="J965" s="1" t="s">
        <v>15</v>
      </c>
      <c r="K965">
        <v>1</v>
      </c>
      <c r="L965">
        <v>0</v>
      </c>
      <c r="M965" t="str">
        <f>IF(tblPenalties[[#This Row],[total_yards]]=0, "Declined", "Accepted")</f>
        <v>Accepted</v>
      </c>
    </row>
    <row r="966" spans="1:13" x14ac:dyDescent="0.25">
      <c r="A966" s="1" t="s">
        <v>37</v>
      </c>
      <c r="B966" s="1" t="s">
        <v>17</v>
      </c>
      <c r="C966" s="1" t="s">
        <v>23</v>
      </c>
      <c r="D966">
        <v>1</v>
      </c>
      <c r="E966">
        <v>2</v>
      </c>
      <c r="F966">
        <v>2</v>
      </c>
      <c r="J966" s="1" t="s">
        <v>15</v>
      </c>
      <c r="K966">
        <v>1</v>
      </c>
      <c r="L966">
        <v>0</v>
      </c>
      <c r="M966" t="str">
        <f>IF(tblPenalties[[#This Row],[total_yards]]=0, "Declined", "Accepted")</f>
        <v>Accepted</v>
      </c>
    </row>
    <row r="967" spans="1:13" x14ac:dyDescent="0.25">
      <c r="A967" s="1" t="s">
        <v>38</v>
      </c>
      <c r="B967" s="1" t="s">
        <v>26</v>
      </c>
      <c r="C967" s="1" t="s">
        <v>23</v>
      </c>
      <c r="D967">
        <v>2</v>
      </c>
      <c r="E967">
        <v>7</v>
      </c>
      <c r="F967">
        <v>3.5</v>
      </c>
      <c r="J967" s="1" t="s">
        <v>15</v>
      </c>
      <c r="K967">
        <v>1</v>
      </c>
      <c r="L967">
        <v>0</v>
      </c>
      <c r="M967" t="str">
        <f>IF(tblPenalties[[#This Row],[total_yards]]=0, "Declined", "Accepted")</f>
        <v>Accepted</v>
      </c>
    </row>
    <row r="968" spans="1:13" x14ac:dyDescent="0.25">
      <c r="A968" s="1" t="s">
        <v>39</v>
      </c>
      <c r="B968" s="1" t="s">
        <v>40</v>
      </c>
      <c r="C968" s="1" t="s">
        <v>23</v>
      </c>
      <c r="D968">
        <v>1</v>
      </c>
      <c r="E968">
        <v>7</v>
      </c>
      <c r="F968">
        <v>7</v>
      </c>
      <c r="J968" s="1" t="s">
        <v>15</v>
      </c>
      <c r="K968">
        <v>1</v>
      </c>
      <c r="L968">
        <v>0</v>
      </c>
      <c r="M968" t="str">
        <f>IF(tblPenalties[[#This Row],[total_yards]]=0, "Declined", "Accepted")</f>
        <v>Accepted</v>
      </c>
    </row>
    <row r="969" spans="1:13" x14ac:dyDescent="0.25">
      <c r="A969" s="1" t="s">
        <v>127</v>
      </c>
      <c r="B969" s="1" t="s">
        <v>34</v>
      </c>
      <c r="C969" s="1" t="s">
        <v>23</v>
      </c>
      <c r="D969">
        <v>2</v>
      </c>
      <c r="E969">
        <v>8</v>
      </c>
      <c r="F969">
        <v>4</v>
      </c>
      <c r="J969" s="1" t="s">
        <v>15</v>
      </c>
      <c r="K969">
        <v>1</v>
      </c>
      <c r="L969">
        <v>0</v>
      </c>
      <c r="M969" t="str">
        <f>IF(tblPenalties[[#This Row],[total_yards]]=0, "Declined", "Accepted")</f>
        <v>Accepted</v>
      </c>
    </row>
    <row r="970" spans="1:13" x14ac:dyDescent="0.25">
      <c r="A970" s="1" t="s">
        <v>44</v>
      </c>
      <c r="B970" s="1" t="s">
        <v>19</v>
      </c>
      <c r="C970" s="1" t="s">
        <v>23</v>
      </c>
      <c r="D970">
        <v>1</v>
      </c>
      <c r="E970">
        <v>20</v>
      </c>
      <c r="F970">
        <v>20</v>
      </c>
      <c r="J970" s="1" t="s">
        <v>15</v>
      </c>
      <c r="K970">
        <v>1</v>
      </c>
      <c r="L970">
        <v>0</v>
      </c>
      <c r="M970" t="str">
        <f>IF(tblPenalties[[#This Row],[total_yards]]=0, "Declined", "Accepted")</f>
        <v>Accepted</v>
      </c>
    </row>
    <row r="971" spans="1:13" x14ac:dyDescent="0.25">
      <c r="A971" s="1" t="s">
        <v>147</v>
      </c>
      <c r="B971" s="1" t="s">
        <v>13</v>
      </c>
      <c r="C971" s="1" t="s">
        <v>23</v>
      </c>
      <c r="D971">
        <v>2</v>
      </c>
      <c r="E971">
        <v>76</v>
      </c>
      <c r="F971">
        <v>38</v>
      </c>
      <c r="J971" s="1" t="s">
        <v>15</v>
      </c>
      <c r="K971">
        <v>1</v>
      </c>
      <c r="L971">
        <v>0</v>
      </c>
      <c r="M971" t="str">
        <f>IF(tblPenalties[[#This Row],[total_yards]]=0, "Declined", "Accepted")</f>
        <v>Accepted</v>
      </c>
    </row>
    <row r="972" spans="1:13" x14ac:dyDescent="0.25">
      <c r="A972" s="1" t="s">
        <v>50</v>
      </c>
      <c r="B972" s="1" t="s">
        <v>17</v>
      </c>
      <c r="C972" s="1" t="s">
        <v>23</v>
      </c>
      <c r="D972">
        <v>1</v>
      </c>
      <c r="E972">
        <v>3</v>
      </c>
      <c r="F972">
        <v>3</v>
      </c>
      <c r="J972" s="1" t="s">
        <v>15</v>
      </c>
      <c r="K972">
        <v>1</v>
      </c>
      <c r="L972">
        <v>0</v>
      </c>
      <c r="M972" t="str">
        <f>IF(tblPenalties[[#This Row],[total_yards]]=0, "Declined", "Accepted")</f>
        <v>Accepted</v>
      </c>
    </row>
    <row r="973" spans="1:13" x14ac:dyDescent="0.25">
      <c r="A973" s="1" t="s">
        <v>51</v>
      </c>
      <c r="B973" s="1" t="s">
        <v>52</v>
      </c>
      <c r="C973" s="1" t="s">
        <v>23</v>
      </c>
      <c r="D973">
        <v>1</v>
      </c>
      <c r="E973">
        <v>8</v>
      </c>
      <c r="F973">
        <v>8</v>
      </c>
      <c r="J973" s="1" t="s">
        <v>15</v>
      </c>
      <c r="K973">
        <v>1</v>
      </c>
      <c r="L973">
        <v>0</v>
      </c>
      <c r="M973" t="str">
        <f>IF(tblPenalties[[#This Row],[total_yards]]=0, "Declined", "Accepted")</f>
        <v>Accepted</v>
      </c>
    </row>
    <row r="974" spans="1:13" x14ac:dyDescent="0.25">
      <c r="A974" s="1" t="s">
        <v>53</v>
      </c>
      <c r="B974" s="1" t="s">
        <v>17</v>
      </c>
      <c r="C974" s="1" t="s">
        <v>23</v>
      </c>
      <c r="D974">
        <v>2</v>
      </c>
      <c r="E974">
        <v>26</v>
      </c>
      <c r="F974">
        <v>13</v>
      </c>
      <c r="J974" s="1" t="s">
        <v>15</v>
      </c>
      <c r="K974">
        <v>1</v>
      </c>
      <c r="L974">
        <v>0</v>
      </c>
      <c r="M974" t="str">
        <f>IF(tblPenalties[[#This Row],[total_yards]]=0, "Declined", "Accepted")</f>
        <v>Accepted</v>
      </c>
    </row>
    <row r="975" spans="1:13" x14ac:dyDescent="0.25">
      <c r="A975" s="1" t="s">
        <v>54</v>
      </c>
      <c r="B975" s="1" t="s">
        <v>13</v>
      </c>
      <c r="C975" s="1" t="s">
        <v>23</v>
      </c>
      <c r="D975">
        <v>2</v>
      </c>
      <c r="E975">
        <v>13</v>
      </c>
      <c r="F975">
        <v>6.5</v>
      </c>
      <c r="J975" s="1" t="s">
        <v>15</v>
      </c>
      <c r="K975">
        <v>1</v>
      </c>
      <c r="L975">
        <v>0</v>
      </c>
      <c r="M975" t="str">
        <f>IF(tblPenalties[[#This Row],[total_yards]]=0, "Declined", "Accepted")</f>
        <v>Accepted</v>
      </c>
    </row>
    <row r="976" spans="1:13" x14ac:dyDescent="0.25">
      <c r="A976" s="1" t="s">
        <v>55</v>
      </c>
      <c r="B976" s="1" t="s">
        <v>40</v>
      </c>
      <c r="C976" s="1" t="s">
        <v>23</v>
      </c>
      <c r="D976">
        <v>2</v>
      </c>
      <c r="E976">
        <v>9</v>
      </c>
      <c r="F976">
        <v>4.5</v>
      </c>
      <c r="J976" s="1" t="s">
        <v>15</v>
      </c>
      <c r="K976">
        <v>1</v>
      </c>
      <c r="L976">
        <v>0</v>
      </c>
      <c r="M976" t="str">
        <f>IF(tblPenalties[[#This Row],[total_yards]]=0, "Declined", "Accepted")</f>
        <v>Accepted</v>
      </c>
    </row>
    <row r="977" spans="1:13" x14ac:dyDescent="0.25">
      <c r="A977" s="1" t="s">
        <v>138</v>
      </c>
      <c r="B977" s="1" t="s">
        <v>17</v>
      </c>
      <c r="C977" s="1" t="s">
        <v>23</v>
      </c>
      <c r="D977">
        <v>1</v>
      </c>
      <c r="E977">
        <v>1</v>
      </c>
      <c r="F977">
        <v>1</v>
      </c>
      <c r="J977" s="1" t="s">
        <v>15</v>
      </c>
      <c r="K977">
        <v>1</v>
      </c>
      <c r="L977">
        <v>0</v>
      </c>
      <c r="M977" t="str">
        <f>IF(tblPenalties[[#This Row],[total_yards]]=0, "Declined", "Accepted")</f>
        <v>Accepted</v>
      </c>
    </row>
    <row r="978" spans="1:13" x14ac:dyDescent="0.25">
      <c r="A978" s="1" t="s">
        <v>139</v>
      </c>
      <c r="B978" s="1" t="s">
        <v>17</v>
      </c>
      <c r="C978" s="1" t="s">
        <v>23</v>
      </c>
      <c r="D978">
        <v>1</v>
      </c>
      <c r="E978">
        <v>7</v>
      </c>
      <c r="F978">
        <v>7</v>
      </c>
      <c r="J978" s="1" t="s">
        <v>15</v>
      </c>
      <c r="K978">
        <v>1</v>
      </c>
      <c r="L978">
        <v>0</v>
      </c>
      <c r="M978" t="str">
        <f>IF(tblPenalties[[#This Row],[total_yards]]=0, "Declined", "Accepted")</f>
        <v>Accepted</v>
      </c>
    </row>
    <row r="979" spans="1:13" x14ac:dyDescent="0.25">
      <c r="A979" s="1" t="s">
        <v>56</v>
      </c>
      <c r="B979" s="1" t="s">
        <v>40</v>
      </c>
      <c r="C979" s="1" t="s">
        <v>23</v>
      </c>
      <c r="D979">
        <v>4</v>
      </c>
      <c r="E979">
        <v>51</v>
      </c>
      <c r="F979">
        <v>12.75</v>
      </c>
      <c r="J979" s="1" t="s">
        <v>15</v>
      </c>
      <c r="K979">
        <v>1</v>
      </c>
      <c r="L979">
        <v>0</v>
      </c>
      <c r="M979" t="str">
        <f>IF(tblPenalties[[#This Row],[total_yards]]=0, "Declined", "Accepted")</f>
        <v>Accepted</v>
      </c>
    </row>
    <row r="980" spans="1:13" x14ac:dyDescent="0.25">
      <c r="A980" s="1" t="s">
        <v>116</v>
      </c>
      <c r="B980" s="1" t="s">
        <v>21</v>
      </c>
      <c r="C980" s="1" t="s">
        <v>23</v>
      </c>
      <c r="D980">
        <v>3</v>
      </c>
      <c r="E980">
        <v>10</v>
      </c>
      <c r="F980">
        <v>3.33</v>
      </c>
      <c r="J980" s="1" t="s">
        <v>15</v>
      </c>
      <c r="K980">
        <v>1</v>
      </c>
      <c r="L980">
        <v>0</v>
      </c>
      <c r="M980" t="str">
        <f>IF(tblPenalties[[#This Row],[total_yards]]=0, "Declined", "Accepted")</f>
        <v>Accepted</v>
      </c>
    </row>
    <row r="981" spans="1:13" x14ac:dyDescent="0.25">
      <c r="A981" s="1" t="s">
        <v>57</v>
      </c>
      <c r="B981" s="1" t="s">
        <v>19</v>
      </c>
      <c r="C981" s="1" t="s">
        <v>23</v>
      </c>
      <c r="D981">
        <v>2</v>
      </c>
      <c r="E981">
        <v>42</v>
      </c>
      <c r="F981">
        <v>21</v>
      </c>
      <c r="J981" s="1" t="s">
        <v>15</v>
      </c>
      <c r="K981">
        <v>1</v>
      </c>
      <c r="L981">
        <v>0</v>
      </c>
      <c r="M981" t="str">
        <f>IF(tblPenalties[[#This Row],[total_yards]]=0, "Declined", "Accepted")</f>
        <v>Accepted</v>
      </c>
    </row>
    <row r="982" spans="1:13" x14ac:dyDescent="0.25">
      <c r="A982" s="1" t="s">
        <v>58</v>
      </c>
      <c r="B982" s="1" t="s">
        <v>19</v>
      </c>
      <c r="C982" s="1" t="s">
        <v>23</v>
      </c>
      <c r="D982">
        <v>4</v>
      </c>
      <c r="E982">
        <v>22</v>
      </c>
      <c r="F982">
        <v>5.5</v>
      </c>
      <c r="J982" s="1" t="s">
        <v>15</v>
      </c>
      <c r="K982">
        <v>1</v>
      </c>
      <c r="L982">
        <v>0</v>
      </c>
      <c r="M982" t="str">
        <f>IF(tblPenalties[[#This Row],[total_yards]]=0, "Declined", "Accepted")</f>
        <v>Accepted</v>
      </c>
    </row>
    <row r="983" spans="1:13" x14ac:dyDescent="0.25">
      <c r="A983" s="1" t="s">
        <v>59</v>
      </c>
      <c r="B983" s="1" t="s">
        <v>40</v>
      </c>
      <c r="C983" s="1" t="s">
        <v>23</v>
      </c>
      <c r="D983">
        <v>1</v>
      </c>
      <c r="E983">
        <v>39</v>
      </c>
      <c r="F983">
        <v>39</v>
      </c>
      <c r="J983" s="1" t="s">
        <v>15</v>
      </c>
      <c r="K983">
        <v>1</v>
      </c>
      <c r="L983">
        <v>0</v>
      </c>
      <c r="M983" t="str">
        <f>IF(tblPenalties[[#This Row],[total_yards]]=0, "Declined", "Accepted")</f>
        <v>Accepted</v>
      </c>
    </row>
    <row r="984" spans="1:13" x14ac:dyDescent="0.25">
      <c r="A984" s="1" t="s">
        <v>61</v>
      </c>
      <c r="B984" s="1" t="s">
        <v>13</v>
      </c>
      <c r="C984" s="1" t="s">
        <v>23</v>
      </c>
      <c r="D984">
        <v>2</v>
      </c>
      <c r="E984">
        <v>17</v>
      </c>
      <c r="F984">
        <v>8.5</v>
      </c>
      <c r="J984" s="1" t="s">
        <v>15</v>
      </c>
      <c r="K984">
        <v>1</v>
      </c>
      <c r="L984">
        <v>0</v>
      </c>
      <c r="M984" t="str">
        <f>IF(tblPenalties[[#This Row],[total_yards]]=0, "Declined", "Accepted")</f>
        <v>Accepted</v>
      </c>
    </row>
    <row r="985" spans="1:13" x14ac:dyDescent="0.25">
      <c r="A985" s="1" t="s">
        <v>62</v>
      </c>
      <c r="B985" s="1" t="s">
        <v>40</v>
      </c>
      <c r="C985" s="1" t="s">
        <v>23</v>
      </c>
      <c r="D985">
        <v>2</v>
      </c>
      <c r="E985">
        <v>53</v>
      </c>
      <c r="F985">
        <v>26.5</v>
      </c>
      <c r="J985" s="1" t="s">
        <v>15</v>
      </c>
      <c r="K985">
        <v>1</v>
      </c>
      <c r="L985">
        <v>0</v>
      </c>
      <c r="M985" t="str">
        <f>IF(tblPenalties[[#This Row],[total_yards]]=0, "Declined", "Accepted")</f>
        <v>Accepted</v>
      </c>
    </row>
    <row r="986" spans="1:13" x14ac:dyDescent="0.25">
      <c r="A986" s="1" t="s">
        <v>63</v>
      </c>
      <c r="B986" s="1" t="s">
        <v>13</v>
      </c>
      <c r="C986" s="1" t="s">
        <v>23</v>
      </c>
      <c r="D986">
        <v>5</v>
      </c>
      <c r="E986">
        <v>36</v>
      </c>
      <c r="F986">
        <v>7.2</v>
      </c>
      <c r="J986" s="1" t="s">
        <v>15</v>
      </c>
      <c r="K986">
        <v>1</v>
      </c>
      <c r="L986">
        <v>0</v>
      </c>
      <c r="M986" t="str">
        <f>IF(tblPenalties[[#This Row],[total_yards]]=0, "Declined", "Accepted")</f>
        <v>Accepted</v>
      </c>
    </row>
    <row r="987" spans="1:13" x14ac:dyDescent="0.25">
      <c r="A987" s="1" t="s">
        <v>64</v>
      </c>
      <c r="B987" s="1" t="s">
        <v>52</v>
      </c>
      <c r="C987" s="1" t="s">
        <v>23</v>
      </c>
      <c r="D987">
        <v>2</v>
      </c>
      <c r="E987">
        <v>1</v>
      </c>
      <c r="F987">
        <v>0.5</v>
      </c>
      <c r="J987" s="1" t="s">
        <v>15</v>
      </c>
      <c r="K987">
        <v>1</v>
      </c>
      <c r="L987">
        <v>0</v>
      </c>
      <c r="M987" t="str">
        <f>IF(tblPenalties[[#This Row],[total_yards]]=0, "Declined", "Accepted")</f>
        <v>Accepted</v>
      </c>
    </row>
    <row r="988" spans="1:13" x14ac:dyDescent="0.25">
      <c r="A988" s="1" t="s">
        <v>66</v>
      </c>
      <c r="B988" s="1" t="s">
        <v>21</v>
      </c>
      <c r="C988" s="1" t="s">
        <v>23</v>
      </c>
      <c r="D988">
        <v>3</v>
      </c>
      <c r="E988">
        <v>60</v>
      </c>
      <c r="F988">
        <v>20</v>
      </c>
      <c r="J988" s="1" t="s">
        <v>15</v>
      </c>
      <c r="K988">
        <v>1</v>
      </c>
      <c r="L988">
        <v>0</v>
      </c>
      <c r="M988" t="str">
        <f>IF(tblPenalties[[#This Row],[total_yards]]=0, "Declined", "Accepted")</f>
        <v>Accepted</v>
      </c>
    </row>
    <row r="989" spans="1:13" x14ac:dyDescent="0.25">
      <c r="A989" s="1" t="s">
        <v>119</v>
      </c>
      <c r="B989" s="1" t="s">
        <v>52</v>
      </c>
      <c r="C989" s="1" t="s">
        <v>23</v>
      </c>
      <c r="D989">
        <v>1</v>
      </c>
      <c r="E989">
        <v>37</v>
      </c>
      <c r="F989">
        <v>37</v>
      </c>
      <c r="J989" s="1" t="s">
        <v>15</v>
      </c>
      <c r="K989">
        <v>1</v>
      </c>
      <c r="L989">
        <v>0</v>
      </c>
      <c r="M989" t="str">
        <f>IF(tblPenalties[[#This Row],[total_yards]]=0, "Declined", "Accepted")</f>
        <v>Accepted</v>
      </c>
    </row>
    <row r="990" spans="1:13" x14ac:dyDescent="0.25">
      <c r="A990" s="1" t="s">
        <v>68</v>
      </c>
      <c r="B990" s="1" t="s">
        <v>19</v>
      </c>
      <c r="C990" s="1" t="s">
        <v>23</v>
      </c>
      <c r="D990">
        <v>5</v>
      </c>
      <c r="E990">
        <v>102</v>
      </c>
      <c r="F990">
        <v>20.399999999999999</v>
      </c>
      <c r="J990" s="1" t="s">
        <v>15</v>
      </c>
      <c r="K990">
        <v>1</v>
      </c>
      <c r="L990">
        <v>0</v>
      </c>
      <c r="M990" t="str">
        <f>IF(tblPenalties[[#This Row],[total_yards]]=0, "Declined", "Accepted")</f>
        <v>Accepted</v>
      </c>
    </row>
    <row r="991" spans="1:13" x14ac:dyDescent="0.25">
      <c r="A991" s="1" t="s">
        <v>70</v>
      </c>
      <c r="B991" s="1" t="s">
        <v>21</v>
      </c>
      <c r="C991" s="1" t="s">
        <v>23</v>
      </c>
      <c r="D991">
        <v>1</v>
      </c>
      <c r="E991">
        <v>41</v>
      </c>
      <c r="F991">
        <v>41</v>
      </c>
      <c r="J991" s="1" t="s">
        <v>15</v>
      </c>
      <c r="K991">
        <v>1</v>
      </c>
      <c r="L991">
        <v>0</v>
      </c>
      <c r="M991" t="str">
        <f>IF(tblPenalties[[#This Row],[total_yards]]=0, "Declined", "Accepted")</f>
        <v>Accepted</v>
      </c>
    </row>
    <row r="992" spans="1:13" x14ac:dyDescent="0.25">
      <c r="A992" s="1" t="s">
        <v>121</v>
      </c>
      <c r="B992" s="1" t="s">
        <v>28</v>
      </c>
      <c r="C992" s="1" t="s">
        <v>23</v>
      </c>
      <c r="D992">
        <v>2</v>
      </c>
      <c r="E992">
        <v>8</v>
      </c>
      <c r="F992">
        <v>4</v>
      </c>
      <c r="J992" s="1" t="s">
        <v>15</v>
      </c>
      <c r="K992">
        <v>1</v>
      </c>
      <c r="L992">
        <v>0</v>
      </c>
      <c r="M992" t="str">
        <f>IF(tblPenalties[[#This Row],[total_yards]]=0, "Declined", "Accepted")</f>
        <v>Accepted</v>
      </c>
    </row>
    <row r="993" spans="1:13" x14ac:dyDescent="0.25">
      <c r="A993" s="1" t="s">
        <v>148</v>
      </c>
      <c r="B993" s="1" t="s">
        <v>52</v>
      </c>
      <c r="C993" s="1" t="s">
        <v>23</v>
      </c>
      <c r="D993">
        <v>1</v>
      </c>
      <c r="E993">
        <v>40</v>
      </c>
      <c r="F993">
        <v>40</v>
      </c>
      <c r="J993" s="1" t="s">
        <v>15</v>
      </c>
      <c r="K993">
        <v>1</v>
      </c>
      <c r="L993">
        <v>0</v>
      </c>
      <c r="M993" t="str">
        <f>IF(tblPenalties[[#This Row],[total_yards]]=0, "Declined", "Accepted")</f>
        <v>Accepted</v>
      </c>
    </row>
    <row r="994" spans="1:13" x14ac:dyDescent="0.25">
      <c r="A994" s="1" t="s">
        <v>123</v>
      </c>
      <c r="B994" s="1" t="s">
        <v>26</v>
      </c>
      <c r="C994" s="1" t="s">
        <v>23</v>
      </c>
      <c r="D994">
        <v>1</v>
      </c>
      <c r="E994">
        <v>8</v>
      </c>
      <c r="F994">
        <v>8</v>
      </c>
      <c r="J994" s="1" t="s">
        <v>15</v>
      </c>
      <c r="K994">
        <v>1</v>
      </c>
      <c r="L994">
        <v>0</v>
      </c>
      <c r="M994" t="str">
        <f>IF(tblPenalties[[#This Row],[total_yards]]=0, "Declined", "Accepted")</f>
        <v>Accepted</v>
      </c>
    </row>
    <row r="995" spans="1:13" x14ac:dyDescent="0.25">
      <c r="A995" s="1" t="s">
        <v>73</v>
      </c>
      <c r="B995" s="1" t="s">
        <v>26</v>
      </c>
      <c r="C995" s="1" t="s">
        <v>23</v>
      </c>
      <c r="D995">
        <v>3</v>
      </c>
      <c r="E995">
        <v>10</v>
      </c>
      <c r="F995">
        <v>3.33</v>
      </c>
      <c r="J995" s="1" t="s">
        <v>15</v>
      </c>
      <c r="K995">
        <v>1</v>
      </c>
      <c r="L995">
        <v>0</v>
      </c>
      <c r="M995" t="str">
        <f>IF(tblPenalties[[#This Row],[total_yards]]=0, "Declined", "Accepted")</f>
        <v>Accepted</v>
      </c>
    </row>
    <row r="996" spans="1:13" x14ac:dyDescent="0.25">
      <c r="A996" s="1" t="s">
        <v>74</v>
      </c>
      <c r="B996" s="1" t="s">
        <v>40</v>
      </c>
      <c r="C996" s="1" t="s">
        <v>23</v>
      </c>
      <c r="D996">
        <v>4</v>
      </c>
      <c r="E996">
        <v>30</v>
      </c>
      <c r="F996">
        <v>7.5</v>
      </c>
      <c r="J996" s="1" t="s">
        <v>15</v>
      </c>
      <c r="K996">
        <v>1</v>
      </c>
      <c r="L996">
        <v>0</v>
      </c>
      <c r="M996" t="str">
        <f>IF(tblPenalties[[#This Row],[total_yards]]=0, "Declined", "Accepted")</f>
        <v>Accepted</v>
      </c>
    </row>
    <row r="997" spans="1:13" x14ac:dyDescent="0.25">
      <c r="A997" s="1" t="s">
        <v>150</v>
      </c>
      <c r="B997" s="1" t="s">
        <v>28</v>
      </c>
      <c r="C997" s="1" t="s">
        <v>23</v>
      </c>
      <c r="D997">
        <v>3</v>
      </c>
      <c r="E997">
        <v>57</v>
      </c>
      <c r="F997">
        <v>19</v>
      </c>
      <c r="J997" s="1" t="s">
        <v>15</v>
      </c>
      <c r="K997">
        <v>1</v>
      </c>
      <c r="L997">
        <v>0</v>
      </c>
      <c r="M997" t="str">
        <f>IF(tblPenalties[[#This Row],[total_yards]]=0, "Declined", "Accepted")</f>
        <v>Accepted</v>
      </c>
    </row>
    <row r="998" spans="1:13" x14ac:dyDescent="0.25">
      <c r="A998" s="1" t="s">
        <v>140</v>
      </c>
      <c r="B998" s="1" t="s">
        <v>52</v>
      </c>
      <c r="C998" s="1" t="s">
        <v>23</v>
      </c>
      <c r="D998">
        <v>3</v>
      </c>
      <c r="E998">
        <v>6</v>
      </c>
      <c r="F998">
        <v>2</v>
      </c>
      <c r="J998" s="1" t="s">
        <v>15</v>
      </c>
      <c r="K998">
        <v>1</v>
      </c>
      <c r="L998">
        <v>0</v>
      </c>
      <c r="M998" t="str">
        <f>IF(tblPenalties[[#This Row],[total_yards]]=0, "Declined", "Accepted")</f>
        <v>Accepted</v>
      </c>
    </row>
    <row r="999" spans="1:13" x14ac:dyDescent="0.25">
      <c r="A999" s="1" t="s">
        <v>75</v>
      </c>
      <c r="B999" s="1" t="s">
        <v>13</v>
      </c>
      <c r="C999" s="1" t="s">
        <v>23</v>
      </c>
      <c r="D999">
        <v>2</v>
      </c>
      <c r="E999">
        <v>32</v>
      </c>
      <c r="F999">
        <v>16</v>
      </c>
      <c r="J999" s="1" t="s">
        <v>15</v>
      </c>
      <c r="K999">
        <v>1</v>
      </c>
      <c r="L999">
        <v>0</v>
      </c>
      <c r="M999" t="str">
        <f>IF(tblPenalties[[#This Row],[total_yards]]=0, "Declined", "Accepted")</f>
        <v>Accepted</v>
      </c>
    </row>
    <row r="1000" spans="1:13" x14ac:dyDescent="0.25">
      <c r="A1000" s="1" t="s">
        <v>77</v>
      </c>
      <c r="B1000" s="1" t="s">
        <v>17</v>
      </c>
      <c r="C1000" s="1" t="s">
        <v>23</v>
      </c>
      <c r="D1000">
        <v>1</v>
      </c>
      <c r="E1000">
        <v>2</v>
      </c>
      <c r="F1000">
        <v>2</v>
      </c>
      <c r="J1000" s="1" t="s">
        <v>15</v>
      </c>
      <c r="K1000">
        <v>1</v>
      </c>
      <c r="L1000">
        <v>0</v>
      </c>
      <c r="M1000" t="str">
        <f>IF(tblPenalties[[#This Row],[total_yards]]=0, "Declined", "Accepted")</f>
        <v>Accepted</v>
      </c>
    </row>
    <row r="1001" spans="1:13" x14ac:dyDescent="0.25">
      <c r="A1001" s="1" t="s">
        <v>81</v>
      </c>
      <c r="B1001" s="1" t="s">
        <v>52</v>
      </c>
      <c r="C1001" s="1" t="s">
        <v>23</v>
      </c>
      <c r="D1001">
        <v>1</v>
      </c>
      <c r="E1001">
        <v>39</v>
      </c>
      <c r="F1001">
        <v>39</v>
      </c>
      <c r="J1001" s="1" t="s">
        <v>15</v>
      </c>
      <c r="K1001">
        <v>1</v>
      </c>
      <c r="L1001">
        <v>0</v>
      </c>
      <c r="M1001" t="str">
        <f>IF(tblPenalties[[#This Row],[total_yards]]=0, "Declined", "Accepted")</f>
        <v>Accepted</v>
      </c>
    </row>
    <row r="1002" spans="1:13" x14ac:dyDescent="0.25">
      <c r="A1002" s="1" t="s">
        <v>83</v>
      </c>
      <c r="B1002" s="1" t="s">
        <v>52</v>
      </c>
      <c r="C1002" s="1" t="s">
        <v>23</v>
      </c>
      <c r="D1002">
        <v>1</v>
      </c>
      <c r="E1002">
        <v>2</v>
      </c>
      <c r="F1002">
        <v>2</v>
      </c>
      <c r="J1002" s="1" t="s">
        <v>15</v>
      </c>
      <c r="K1002">
        <v>1</v>
      </c>
      <c r="L1002">
        <v>0</v>
      </c>
      <c r="M1002" t="str">
        <f>IF(tblPenalties[[#This Row],[total_yards]]=0, "Declined", "Accepted")</f>
        <v>Accepted</v>
      </c>
    </row>
    <row r="1003" spans="1:13" x14ac:dyDescent="0.25">
      <c r="A1003" s="1" t="s">
        <v>84</v>
      </c>
      <c r="B1003" s="1" t="s">
        <v>13</v>
      </c>
      <c r="C1003" s="1" t="s">
        <v>23</v>
      </c>
      <c r="D1003">
        <v>6</v>
      </c>
      <c r="E1003">
        <v>68</v>
      </c>
      <c r="F1003">
        <v>11.33</v>
      </c>
      <c r="J1003" s="1" t="s">
        <v>15</v>
      </c>
      <c r="K1003">
        <v>1</v>
      </c>
      <c r="L1003">
        <v>0</v>
      </c>
      <c r="M1003" t="str">
        <f>IF(tblPenalties[[#This Row],[total_yards]]=0, "Declined", "Accepted")</f>
        <v>Accepted</v>
      </c>
    </row>
    <row r="1004" spans="1:13" x14ac:dyDescent="0.25">
      <c r="A1004" s="1" t="s">
        <v>85</v>
      </c>
      <c r="B1004" s="1" t="s">
        <v>28</v>
      </c>
      <c r="C1004" s="1" t="s">
        <v>23</v>
      </c>
      <c r="D1004">
        <v>2</v>
      </c>
      <c r="E1004">
        <v>11</v>
      </c>
      <c r="F1004">
        <v>5.5</v>
      </c>
      <c r="J1004" s="1" t="s">
        <v>15</v>
      </c>
      <c r="K1004">
        <v>1</v>
      </c>
      <c r="L1004">
        <v>0</v>
      </c>
      <c r="M1004" t="str">
        <f>IF(tblPenalties[[#This Row],[total_yards]]=0, "Declined", "Accepted")</f>
        <v>Accepted</v>
      </c>
    </row>
    <row r="1005" spans="1:13" x14ac:dyDescent="0.25">
      <c r="A1005" s="1" t="s">
        <v>86</v>
      </c>
      <c r="B1005" s="1" t="s">
        <v>40</v>
      </c>
      <c r="C1005" s="1" t="s">
        <v>23</v>
      </c>
      <c r="D1005">
        <v>1</v>
      </c>
      <c r="E1005">
        <v>45</v>
      </c>
      <c r="F1005">
        <v>45</v>
      </c>
      <c r="J1005" s="1" t="s">
        <v>15</v>
      </c>
      <c r="K1005">
        <v>1</v>
      </c>
      <c r="L1005">
        <v>0</v>
      </c>
      <c r="M1005" t="str">
        <f>IF(tblPenalties[[#This Row],[total_yards]]=0, "Declined", "Accepted")</f>
        <v>Accepted</v>
      </c>
    </row>
    <row r="1006" spans="1:13" x14ac:dyDescent="0.25">
      <c r="A1006" s="1" t="s">
        <v>87</v>
      </c>
      <c r="B1006" s="1" t="s">
        <v>26</v>
      </c>
      <c r="C1006" s="1" t="s">
        <v>23</v>
      </c>
      <c r="D1006">
        <v>2</v>
      </c>
      <c r="E1006">
        <v>51</v>
      </c>
      <c r="F1006">
        <v>25.5</v>
      </c>
      <c r="J1006" s="1" t="s">
        <v>15</v>
      </c>
      <c r="K1006">
        <v>1</v>
      </c>
      <c r="L1006">
        <v>0</v>
      </c>
      <c r="M1006" t="str">
        <f>IF(tblPenalties[[#This Row],[total_yards]]=0, "Declined", "Accepted")</f>
        <v>Accepted</v>
      </c>
    </row>
    <row r="1007" spans="1:13" x14ac:dyDescent="0.25">
      <c r="A1007" s="1" t="s">
        <v>149</v>
      </c>
      <c r="B1007" s="1" t="s">
        <v>26</v>
      </c>
      <c r="C1007" s="1" t="s">
        <v>23</v>
      </c>
      <c r="D1007">
        <v>1</v>
      </c>
      <c r="E1007">
        <v>48</v>
      </c>
      <c r="F1007">
        <v>48</v>
      </c>
      <c r="J1007" s="1" t="s">
        <v>15</v>
      </c>
      <c r="K1007">
        <v>1</v>
      </c>
      <c r="L1007">
        <v>0</v>
      </c>
      <c r="M1007" t="str">
        <f>IF(tblPenalties[[#This Row],[total_yards]]=0, "Declined", "Accepted")</f>
        <v>Accepted</v>
      </c>
    </row>
    <row r="1008" spans="1:13" x14ac:dyDescent="0.25">
      <c r="A1008" s="1" t="s">
        <v>91</v>
      </c>
      <c r="B1008" s="1" t="s">
        <v>17</v>
      </c>
      <c r="C1008" s="1" t="s">
        <v>23</v>
      </c>
      <c r="D1008">
        <v>1</v>
      </c>
      <c r="E1008">
        <v>48</v>
      </c>
      <c r="F1008">
        <v>48</v>
      </c>
      <c r="J1008" s="1" t="s">
        <v>15</v>
      </c>
      <c r="K1008">
        <v>1</v>
      </c>
      <c r="L1008">
        <v>0</v>
      </c>
      <c r="M1008" t="str">
        <f>IF(tblPenalties[[#This Row],[total_yards]]=0, "Declined", "Accepted")</f>
        <v>Accepted</v>
      </c>
    </row>
    <row r="1009" spans="1:13" x14ac:dyDescent="0.25">
      <c r="A1009" s="1" t="s">
        <v>94</v>
      </c>
      <c r="B1009" s="1" t="s">
        <v>13</v>
      </c>
      <c r="C1009" s="1" t="s">
        <v>23</v>
      </c>
      <c r="D1009">
        <v>2</v>
      </c>
      <c r="E1009">
        <v>73</v>
      </c>
      <c r="F1009">
        <v>36.5</v>
      </c>
      <c r="J1009" s="1" t="s">
        <v>15</v>
      </c>
      <c r="K1009">
        <v>1</v>
      </c>
      <c r="L1009">
        <v>0</v>
      </c>
      <c r="M1009" t="str">
        <f>IF(tblPenalties[[#This Row],[total_yards]]=0, "Declined", "Accepted")</f>
        <v>Accepted</v>
      </c>
    </row>
    <row r="1010" spans="1:13" x14ac:dyDescent="0.25">
      <c r="A1010" s="1" t="s">
        <v>97</v>
      </c>
      <c r="B1010" s="1" t="s">
        <v>34</v>
      </c>
      <c r="C1010" s="1" t="s">
        <v>23</v>
      </c>
      <c r="D1010">
        <v>3</v>
      </c>
      <c r="E1010">
        <v>48</v>
      </c>
      <c r="F1010">
        <v>16</v>
      </c>
      <c r="J1010" s="1" t="s">
        <v>15</v>
      </c>
      <c r="K1010">
        <v>1</v>
      </c>
      <c r="L1010">
        <v>0</v>
      </c>
      <c r="M1010" t="str">
        <f>IF(tblPenalties[[#This Row],[total_yards]]=0, "Declined", "Accepted")</f>
        <v>Accepted</v>
      </c>
    </row>
    <row r="1011" spans="1:13" x14ac:dyDescent="0.25">
      <c r="A1011" s="1" t="s">
        <v>98</v>
      </c>
      <c r="B1011" s="1" t="s">
        <v>17</v>
      </c>
      <c r="C1011" s="1" t="s">
        <v>23</v>
      </c>
      <c r="D1011">
        <v>2</v>
      </c>
      <c r="E1011">
        <v>43</v>
      </c>
      <c r="F1011">
        <v>21.5</v>
      </c>
      <c r="J1011" s="1" t="s">
        <v>15</v>
      </c>
      <c r="K1011">
        <v>1</v>
      </c>
      <c r="L1011">
        <v>0</v>
      </c>
      <c r="M1011" t="str">
        <f>IF(tblPenalties[[#This Row],[total_yards]]=0, "Declined", "Accepted")</f>
        <v>Accepted</v>
      </c>
    </row>
    <row r="1012" spans="1:13" x14ac:dyDescent="0.25">
      <c r="A1012" s="1" t="s">
        <v>142</v>
      </c>
      <c r="B1012" s="1" t="s">
        <v>52</v>
      </c>
      <c r="C1012" s="1" t="s">
        <v>23</v>
      </c>
      <c r="D1012">
        <v>4</v>
      </c>
      <c r="E1012">
        <v>11</v>
      </c>
      <c r="F1012">
        <v>2.75</v>
      </c>
      <c r="J1012" s="1" t="s">
        <v>15</v>
      </c>
      <c r="K1012">
        <v>1</v>
      </c>
      <c r="L1012">
        <v>0</v>
      </c>
      <c r="M1012" t="str">
        <f>IF(tblPenalties[[#This Row],[total_yards]]=0, "Declined", "Accepted")</f>
        <v>Accepted</v>
      </c>
    </row>
    <row r="1013" spans="1:13" x14ac:dyDescent="0.25">
      <c r="A1013" s="1" t="s">
        <v>99</v>
      </c>
      <c r="B1013" s="1" t="s">
        <v>100</v>
      </c>
      <c r="C1013" s="1" t="s">
        <v>23</v>
      </c>
      <c r="D1013">
        <v>1</v>
      </c>
      <c r="E1013">
        <v>8</v>
      </c>
      <c r="F1013">
        <v>8</v>
      </c>
      <c r="J1013" s="1" t="s">
        <v>15</v>
      </c>
      <c r="K1013">
        <v>1</v>
      </c>
      <c r="L1013">
        <v>0</v>
      </c>
      <c r="M1013" t="str">
        <f>IF(tblPenalties[[#This Row],[total_yards]]=0, "Declined", "Accepted")</f>
        <v>Accepted</v>
      </c>
    </row>
    <row r="1014" spans="1:13" x14ac:dyDescent="0.25">
      <c r="A1014" s="1" t="s">
        <v>151</v>
      </c>
      <c r="B1014" s="1" t="s">
        <v>13</v>
      </c>
      <c r="C1014" s="1" t="s">
        <v>23</v>
      </c>
      <c r="D1014">
        <v>4</v>
      </c>
      <c r="E1014">
        <v>81</v>
      </c>
      <c r="F1014">
        <v>20.25</v>
      </c>
      <c r="J1014" s="1" t="s">
        <v>15</v>
      </c>
      <c r="K1014">
        <v>1</v>
      </c>
      <c r="L1014">
        <v>0</v>
      </c>
      <c r="M1014" t="str">
        <f>IF(tblPenalties[[#This Row],[total_yards]]=0, "Declined", "Accepted")</f>
        <v>Accepted</v>
      </c>
    </row>
    <row r="1015" spans="1:13" x14ac:dyDescent="0.25">
      <c r="A1015" s="1" t="s">
        <v>101</v>
      </c>
      <c r="B1015" s="1" t="s">
        <v>21</v>
      </c>
      <c r="C1015" s="1" t="s">
        <v>23</v>
      </c>
      <c r="D1015">
        <v>3</v>
      </c>
      <c r="E1015">
        <v>35</v>
      </c>
      <c r="F1015">
        <v>11.67</v>
      </c>
      <c r="J1015" s="1" t="s">
        <v>15</v>
      </c>
      <c r="K1015">
        <v>1</v>
      </c>
      <c r="L1015">
        <v>0</v>
      </c>
      <c r="M1015" t="str">
        <f>IF(tblPenalties[[#This Row],[total_yards]]=0, "Declined", "Accepted")</f>
        <v>Accepted</v>
      </c>
    </row>
    <row r="1016" spans="1:13" x14ac:dyDescent="0.25">
      <c r="A1016" s="1" t="s">
        <v>104</v>
      </c>
      <c r="B1016" s="1" t="s">
        <v>34</v>
      </c>
      <c r="C1016" s="1" t="s">
        <v>23</v>
      </c>
      <c r="D1016">
        <v>1</v>
      </c>
      <c r="E1016">
        <v>1</v>
      </c>
      <c r="F1016">
        <v>1</v>
      </c>
      <c r="J1016" s="1" t="s">
        <v>15</v>
      </c>
      <c r="K1016">
        <v>1</v>
      </c>
      <c r="L1016">
        <v>0</v>
      </c>
      <c r="M1016" t="str">
        <f>IF(tblPenalties[[#This Row],[total_yards]]=0, "Declined", "Accepted")</f>
        <v>Accepted</v>
      </c>
    </row>
    <row r="1017" spans="1:13" x14ac:dyDescent="0.25">
      <c r="A1017" s="1" t="s">
        <v>105</v>
      </c>
      <c r="B1017" s="1" t="s">
        <v>26</v>
      </c>
      <c r="C1017" s="1" t="s">
        <v>23</v>
      </c>
      <c r="D1017">
        <v>4</v>
      </c>
      <c r="E1017">
        <v>18</v>
      </c>
      <c r="F1017">
        <v>4.5</v>
      </c>
      <c r="J1017" s="1" t="s">
        <v>15</v>
      </c>
      <c r="K1017">
        <v>1</v>
      </c>
      <c r="L1017">
        <v>0</v>
      </c>
      <c r="M1017" t="str">
        <f>IF(tblPenalties[[#This Row],[total_yards]]=0, "Declined", "Accepted")</f>
        <v>Accepted</v>
      </c>
    </row>
    <row r="1018" spans="1:13" x14ac:dyDescent="0.25">
      <c r="A1018" s="1" t="s">
        <v>107</v>
      </c>
      <c r="B1018" s="1" t="s">
        <v>21</v>
      </c>
      <c r="C1018" s="1" t="s">
        <v>23</v>
      </c>
      <c r="D1018">
        <v>1</v>
      </c>
      <c r="E1018">
        <v>35</v>
      </c>
      <c r="F1018">
        <v>35</v>
      </c>
      <c r="J1018" s="1" t="s">
        <v>15</v>
      </c>
      <c r="K1018">
        <v>1</v>
      </c>
      <c r="L1018">
        <v>0</v>
      </c>
      <c r="M1018" t="str">
        <f>IF(tblPenalties[[#This Row],[total_yards]]=0, "Declined", "Accepted")</f>
        <v>Accepted</v>
      </c>
    </row>
    <row r="1019" spans="1:13" x14ac:dyDescent="0.25">
      <c r="A1019" s="1" t="s">
        <v>132</v>
      </c>
      <c r="B1019" s="1" t="s">
        <v>40</v>
      </c>
      <c r="C1019" s="1" t="s">
        <v>23</v>
      </c>
      <c r="D1019">
        <v>2</v>
      </c>
      <c r="E1019">
        <v>12</v>
      </c>
      <c r="F1019">
        <v>6</v>
      </c>
      <c r="J1019" s="1" t="s">
        <v>15</v>
      </c>
      <c r="K1019">
        <v>1</v>
      </c>
      <c r="L1019">
        <v>0</v>
      </c>
      <c r="M1019" t="str">
        <f>IF(tblPenalties[[#This Row],[total_yards]]=0, "Declined", "Accepted")</f>
        <v>Accepted</v>
      </c>
    </row>
    <row r="1020" spans="1:13" x14ac:dyDescent="0.25">
      <c r="A1020" s="1" t="s">
        <v>108</v>
      </c>
      <c r="B1020" s="1" t="s">
        <v>28</v>
      </c>
      <c r="C1020" s="1" t="s">
        <v>23</v>
      </c>
      <c r="D1020">
        <v>3</v>
      </c>
      <c r="E1020">
        <v>46</v>
      </c>
      <c r="F1020">
        <v>15.33</v>
      </c>
      <c r="J1020" s="1" t="s">
        <v>15</v>
      </c>
      <c r="K1020">
        <v>1</v>
      </c>
      <c r="L1020">
        <v>0</v>
      </c>
      <c r="M1020" t="str">
        <f>IF(tblPenalties[[#This Row],[total_yards]]=0, "Declined", "Accepted")</f>
        <v>Accepted</v>
      </c>
    </row>
    <row r="1021" spans="1:13" x14ac:dyDescent="0.25">
      <c r="A1021" s="1" t="s">
        <v>133</v>
      </c>
      <c r="B1021" s="1" t="s">
        <v>52</v>
      </c>
      <c r="C1021" s="1" t="s">
        <v>23</v>
      </c>
      <c r="D1021">
        <v>2</v>
      </c>
      <c r="E1021">
        <v>36</v>
      </c>
      <c r="F1021">
        <v>18</v>
      </c>
      <c r="J1021" s="1" t="s">
        <v>15</v>
      </c>
      <c r="K1021">
        <v>1</v>
      </c>
      <c r="L1021">
        <v>0</v>
      </c>
      <c r="M1021" t="str">
        <f>IF(tblPenalties[[#This Row],[total_yards]]=0, "Declined", "Accepted")</f>
        <v>Accepted</v>
      </c>
    </row>
    <row r="1022" spans="1:13" x14ac:dyDescent="0.25">
      <c r="A1022" s="1" t="s">
        <v>109</v>
      </c>
      <c r="B1022" s="1" t="s">
        <v>79</v>
      </c>
      <c r="C1022" s="1" t="s">
        <v>23</v>
      </c>
      <c r="D1022">
        <v>3</v>
      </c>
      <c r="E1022">
        <v>28</v>
      </c>
      <c r="F1022">
        <v>9.33</v>
      </c>
      <c r="J1022" s="1" t="s">
        <v>15</v>
      </c>
      <c r="K1022">
        <v>1</v>
      </c>
      <c r="L1022">
        <v>0</v>
      </c>
      <c r="M1022" t="str">
        <f>IF(tblPenalties[[#This Row],[total_yards]]=0, "Declined", "Accepted")</f>
        <v>Accepted</v>
      </c>
    </row>
    <row r="1023" spans="1:13" x14ac:dyDescent="0.25">
      <c r="A1023" s="1" t="s">
        <v>110</v>
      </c>
      <c r="B1023" s="1" t="s">
        <v>17</v>
      </c>
      <c r="C1023" s="1" t="s">
        <v>23</v>
      </c>
      <c r="D1023">
        <v>1</v>
      </c>
      <c r="E1023">
        <v>28</v>
      </c>
      <c r="F1023">
        <v>28</v>
      </c>
      <c r="J1023" s="1" t="s">
        <v>15</v>
      </c>
      <c r="K1023">
        <v>1</v>
      </c>
      <c r="L1023">
        <v>0</v>
      </c>
      <c r="M1023" t="str">
        <f>IF(tblPenalties[[#This Row],[total_yards]]=0, "Declined", "Accepted")</f>
        <v>Accepted</v>
      </c>
    </row>
    <row r="1024" spans="1:13" x14ac:dyDescent="0.25">
      <c r="A1024" s="1" t="s">
        <v>145</v>
      </c>
      <c r="B1024" s="1" t="s">
        <v>21</v>
      </c>
      <c r="C1024" s="1" t="s">
        <v>22</v>
      </c>
      <c r="D1024">
        <v>6</v>
      </c>
      <c r="E1024">
        <v>20</v>
      </c>
      <c r="F1024">
        <v>3.33</v>
      </c>
      <c r="J1024" s="1" t="s">
        <v>15</v>
      </c>
      <c r="K1024">
        <v>1</v>
      </c>
      <c r="L1024">
        <v>0</v>
      </c>
      <c r="M1024" t="str">
        <f>IF(tblPenalties[[#This Row],[total_yards]]=0, "Declined", "Accepted")</f>
        <v>Accepted</v>
      </c>
    </row>
    <row r="1025" spans="1:13" x14ac:dyDescent="0.25">
      <c r="A1025" s="1" t="s">
        <v>12</v>
      </c>
      <c r="B1025" s="1" t="s">
        <v>13</v>
      </c>
      <c r="C1025" s="1" t="s">
        <v>22</v>
      </c>
      <c r="D1025">
        <v>5</v>
      </c>
      <c r="E1025">
        <v>20</v>
      </c>
      <c r="F1025">
        <v>4</v>
      </c>
      <c r="J1025" s="1" t="s">
        <v>15</v>
      </c>
      <c r="K1025">
        <v>1</v>
      </c>
      <c r="L1025">
        <v>0</v>
      </c>
      <c r="M1025" t="str">
        <f>IF(tblPenalties[[#This Row],[total_yards]]=0, "Declined", "Accepted")</f>
        <v>Accepted</v>
      </c>
    </row>
    <row r="1026" spans="1:13" x14ac:dyDescent="0.25">
      <c r="A1026" s="1" t="s">
        <v>135</v>
      </c>
      <c r="B1026" s="1" t="s">
        <v>17</v>
      </c>
      <c r="C1026" s="1" t="s">
        <v>22</v>
      </c>
      <c r="D1026">
        <v>6</v>
      </c>
      <c r="E1026">
        <v>20</v>
      </c>
      <c r="F1026">
        <v>3.33</v>
      </c>
      <c r="J1026" s="1" t="s">
        <v>15</v>
      </c>
      <c r="K1026">
        <v>1</v>
      </c>
      <c r="L1026">
        <v>0</v>
      </c>
      <c r="M1026" t="str">
        <f>IF(tblPenalties[[#This Row],[total_yards]]=0, "Declined", "Accepted")</f>
        <v>Accepted</v>
      </c>
    </row>
    <row r="1027" spans="1:13" x14ac:dyDescent="0.25">
      <c r="A1027" s="1" t="s">
        <v>18</v>
      </c>
      <c r="B1027" s="1" t="s">
        <v>19</v>
      </c>
      <c r="C1027" s="1" t="s">
        <v>49</v>
      </c>
      <c r="D1027">
        <v>1</v>
      </c>
      <c r="E1027">
        <v>9</v>
      </c>
      <c r="F1027">
        <v>9</v>
      </c>
      <c r="J1027" s="1" t="s">
        <v>15</v>
      </c>
      <c r="K1027">
        <v>1</v>
      </c>
      <c r="L1027">
        <v>0</v>
      </c>
      <c r="M1027" t="str">
        <f>IF(tblPenalties[[#This Row],[total_yards]]=0, "Declined", "Accepted")</f>
        <v>Accepted</v>
      </c>
    </row>
    <row r="1028" spans="1:13" x14ac:dyDescent="0.25">
      <c r="A1028" s="1" t="s">
        <v>126</v>
      </c>
      <c r="B1028" s="1" t="s">
        <v>19</v>
      </c>
      <c r="C1028" s="1" t="s">
        <v>22</v>
      </c>
      <c r="D1028">
        <v>4</v>
      </c>
      <c r="E1028">
        <v>15</v>
      </c>
      <c r="F1028">
        <v>3.75</v>
      </c>
      <c r="J1028" s="1" t="s">
        <v>15</v>
      </c>
      <c r="K1028">
        <v>1</v>
      </c>
      <c r="L1028">
        <v>0</v>
      </c>
      <c r="M1028" t="str">
        <f>IF(tblPenalties[[#This Row],[total_yards]]=0, "Declined", "Accepted")</f>
        <v>Accepted</v>
      </c>
    </row>
    <row r="1029" spans="1:13" x14ac:dyDescent="0.25">
      <c r="A1029" s="1" t="s">
        <v>25</v>
      </c>
      <c r="B1029" s="1" t="s">
        <v>26</v>
      </c>
      <c r="C1029" s="1" t="s">
        <v>22</v>
      </c>
      <c r="D1029">
        <v>3</v>
      </c>
      <c r="E1029">
        <v>11</v>
      </c>
      <c r="F1029">
        <v>3.67</v>
      </c>
      <c r="J1029" s="1" t="s">
        <v>15</v>
      </c>
      <c r="K1029">
        <v>1</v>
      </c>
      <c r="L1029">
        <v>0</v>
      </c>
      <c r="M1029" t="str">
        <f>IF(tblPenalties[[#This Row],[total_yards]]=0, "Declined", "Accepted")</f>
        <v>Accepted</v>
      </c>
    </row>
    <row r="1030" spans="1:13" x14ac:dyDescent="0.25">
      <c r="A1030" s="1" t="s">
        <v>29</v>
      </c>
      <c r="B1030" s="1" t="s">
        <v>21</v>
      </c>
      <c r="C1030" s="1" t="s">
        <v>22</v>
      </c>
      <c r="D1030">
        <v>7</v>
      </c>
      <c r="E1030">
        <v>33</v>
      </c>
      <c r="F1030">
        <v>4.71</v>
      </c>
      <c r="J1030" s="1" t="s">
        <v>15</v>
      </c>
      <c r="K1030">
        <v>1</v>
      </c>
      <c r="L1030">
        <v>0</v>
      </c>
      <c r="M1030" t="str">
        <f>IF(tblPenalties[[#This Row],[total_yards]]=0, "Declined", "Accepted")</f>
        <v>Accepted</v>
      </c>
    </row>
    <row r="1031" spans="1:13" x14ac:dyDescent="0.25">
      <c r="A1031" s="1" t="s">
        <v>30</v>
      </c>
      <c r="B1031" s="1" t="s">
        <v>21</v>
      </c>
      <c r="C1031" s="1" t="s">
        <v>22</v>
      </c>
      <c r="D1031">
        <v>3</v>
      </c>
      <c r="E1031">
        <v>10</v>
      </c>
      <c r="F1031">
        <v>3.33</v>
      </c>
      <c r="J1031" s="1" t="s">
        <v>15</v>
      </c>
      <c r="K1031">
        <v>1</v>
      </c>
      <c r="L1031">
        <v>0</v>
      </c>
      <c r="M1031" t="str">
        <f>IF(tblPenalties[[#This Row],[total_yards]]=0, "Declined", "Accepted")</f>
        <v>Accepted</v>
      </c>
    </row>
    <row r="1032" spans="1:13" x14ac:dyDescent="0.25">
      <c r="A1032" s="1" t="s">
        <v>136</v>
      </c>
      <c r="B1032" s="1" t="s">
        <v>21</v>
      </c>
      <c r="C1032" s="1" t="s">
        <v>22</v>
      </c>
      <c r="D1032">
        <v>3</v>
      </c>
      <c r="E1032">
        <v>10</v>
      </c>
      <c r="F1032">
        <v>3.33</v>
      </c>
      <c r="J1032" s="1" t="s">
        <v>15</v>
      </c>
      <c r="K1032">
        <v>1</v>
      </c>
      <c r="L1032">
        <v>0</v>
      </c>
      <c r="M1032" t="str">
        <f>IF(tblPenalties[[#This Row],[total_yards]]=0, "Declined", "Accepted")</f>
        <v>Accepted</v>
      </c>
    </row>
    <row r="1033" spans="1:13" x14ac:dyDescent="0.25">
      <c r="A1033" s="1" t="s">
        <v>37</v>
      </c>
      <c r="B1033" s="1" t="s">
        <v>17</v>
      </c>
      <c r="C1033" s="1" t="s">
        <v>22</v>
      </c>
      <c r="D1033">
        <v>9</v>
      </c>
      <c r="E1033">
        <v>40</v>
      </c>
      <c r="F1033">
        <v>4.4400000000000004</v>
      </c>
      <c r="J1033" s="1" t="s">
        <v>15</v>
      </c>
      <c r="K1033">
        <v>1</v>
      </c>
      <c r="L1033">
        <v>0</v>
      </c>
      <c r="M1033" t="str">
        <f>IF(tblPenalties[[#This Row],[total_yards]]=0, "Declined", "Accepted")</f>
        <v>Accepted</v>
      </c>
    </row>
    <row r="1034" spans="1:13" x14ac:dyDescent="0.25">
      <c r="A1034" s="1" t="s">
        <v>39</v>
      </c>
      <c r="B1034" s="1" t="s">
        <v>40</v>
      </c>
      <c r="C1034" s="1" t="s">
        <v>22</v>
      </c>
      <c r="D1034">
        <v>2</v>
      </c>
      <c r="E1034">
        <v>5</v>
      </c>
      <c r="F1034">
        <v>2.5</v>
      </c>
      <c r="J1034" s="1" t="s">
        <v>15</v>
      </c>
      <c r="K1034">
        <v>1</v>
      </c>
      <c r="L1034">
        <v>0</v>
      </c>
      <c r="M1034" t="str">
        <f>IF(tblPenalties[[#This Row],[total_yards]]=0, "Declined", "Accepted")</f>
        <v>Accepted</v>
      </c>
    </row>
    <row r="1035" spans="1:13" x14ac:dyDescent="0.25">
      <c r="A1035" s="1" t="s">
        <v>137</v>
      </c>
      <c r="B1035" s="1" t="s">
        <v>28</v>
      </c>
      <c r="C1035" s="1" t="s">
        <v>22</v>
      </c>
      <c r="D1035">
        <v>4</v>
      </c>
      <c r="E1035">
        <v>17</v>
      </c>
      <c r="F1035">
        <v>4.25</v>
      </c>
      <c r="J1035" s="1" t="s">
        <v>15</v>
      </c>
      <c r="K1035">
        <v>1</v>
      </c>
      <c r="L1035">
        <v>0</v>
      </c>
      <c r="M1035" t="str">
        <f>IF(tblPenalties[[#This Row],[total_yards]]=0, "Declined", "Accepted")</f>
        <v>Accepted</v>
      </c>
    </row>
    <row r="1036" spans="1:13" x14ac:dyDescent="0.25">
      <c r="A1036" s="1" t="s">
        <v>127</v>
      </c>
      <c r="B1036" s="1" t="s">
        <v>34</v>
      </c>
      <c r="C1036" s="1" t="s">
        <v>22</v>
      </c>
      <c r="D1036">
        <v>4</v>
      </c>
      <c r="E1036">
        <v>17</v>
      </c>
      <c r="F1036">
        <v>4.25</v>
      </c>
      <c r="J1036" s="1" t="s">
        <v>15</v>
      </c>
      <c r="K1036">
        <v>1</v>
      </c>
      <c r="L1036">
        <v>0</v>
      </c>
      <c r="M1036" t="str">
        <f>IF(tblPenalties[[#This Row],[total_yards]]=0, "Declined", "Accepted")</f>
        <v>Accepted</v>
      </c>
    </row>
    <row r="1037" spans="1:13" x14ac:dyDescent="0.25">
      <c r="A1037" s="1" t="s">
        <v>147</v>
      </c>
      <c r="B1037" s="1" t="s">
        <v>13</v>
      </c>
      <c r="C1037" s="1" t="s">
        <v>22</v>
      </c>
      <c r="D1037">
        <v>5</v>
      </c>
      <c r="E1037">
        <v>23</v>
      </c>
      <c r="F1037">
        <v>4.5999999999999996</v>
      </c>
      <c r="J1037" s="1" t="s">
        <v>15</v>
      </c>
      <c r="K1037">
        <v>1</v>
      </c>
      <c r="L1037">
        <v>0</v>
      </c>
      <c r="M1037" t="str">
        <f>IF(tblPenalties[[#This Row],[total_yards]]=0, "Declined", "Accepted")</f>
        <v>Accepted</v>
      </c>
    </row>
    <row r="1038" spans="1:13" x14ac:dyDescent="0.25">
      <c r="A1038" s="1" t="s">
        <v>48</v>
      </c>
      <c r="B1038" s="1" t="s">
        <v>26</v>
      </c>
      <c r="C1038" s="1" t="s">
        <v>22</v>
      </c>
      <c r="D1038">
        <v>3</v>
      </c>
      <c r="E1038">
        <v>12</v>
      </c>
      <c r="F1038">
        <v>4</v>
      </c>
      <c r="J1038" s="1" t="s">
        <v>15</v>
      </c>
      <c r="K1038">
        <v>1</v>
      </c>
      <c r="L1038">
        <v>0</v>
      </c>
      <c r="M1038" t="str">
        <f>IF(tblPenalties[[#This Row],[total_yards]]=0, "Declined", "Accepted")</f>
        <v>Accepted</v>
      </c>
    </row>
    <row r="1039" spans="1:13" x14ac:dyDescent="0.25">
      <c r="A1039" s="1" t="s">
        <v>138</v>
      </c>
      <c r="B1039" s="1" t="s">
        <v>17</v>
      </c>
      <c r="C1039" s="1" t="s">
        <v>22</v>
      </c>
      <c r="D1039">
        <v>2</v>
      </c>
      <c r="E1039">
        <v>9</v>
      </c>
      <c r="F1039">
        <v>4.5</v>
      </c>
      <c r="J1039" s="1" t="s">
        <v>15</v>
      </c>
      <c r="K1039">
        <v>1</v>
      </c>
      <c r="L1039">
        <v>0</v>
      </c>
      <c r="M1039" t="str">
        <f>IF(tblPenalties[[#This Row],[total_yards]]=0, "Declined", "Accepted")</f>
        <v>Accepted</v>
      </c>
    </row>
    <row r="1040" spans="1:13" x14ac:dyDescent="0.25">
      <c r="A1040" s="1" t="s">
        <v>138</v>
      </c>
      <c r="B1040" s="1" t="s">
        <v>17</v>
      </c>
      <c r="C1040" s="1" t="s">
        <v>49</v>
      </c>
      <c r="D1040">
        <v>1</v>
      </c>
      <c r="E1040">
        <v>3</v>
      </c>
      <c r="F1040">
        <v>3</v>
      </c>
      <c r="J1040" s="1" t="s">
        <v>15</v>
      </c>
      <c r="K1040">
        <v>1</v>
      </c>
      <c r="L1040">
        <v>0</v>
      </c>
      <c r="M1040" t="str">
        <f>IF(tblPenalties[[#This Row],[total_yards]]=0, "Declined", "Accepted")</f>
        <v>Accepted</v>
      </c>
    </row>
    <row r="1041" spans="1:13" x14ac:dyDescent="0.25">
      <c r="A1041" s="1" t="s">
        <v>139</v>
      </c>
      <c r="B1041" s="1" t="s">
        <v>17</v>
      </c>
      <c r="C1041" s="1" t="s">
        <v>22</v>
      </c>
      <c r="D1041">
        <v>3</v>
      </c>
      <c r="E1041">
        <v>10</v>
      </c>
      <c r="F1041">
        <v>3.33</v>
      </c>
      <c r="J1041" s="1" t="s">
        <v>15</v>
      </c>
      <c r="K1041">
        <v>1</v>
      </c>
      <c r="L1041">
        <v>0</v>
      </c>
      <c r="M1041" t="str">
        <f>IF(tblPenalties[[#This Row],[total_yards]]=0, "Declined", "Accepted")</f>
        <v>Accepted</v>
      </c>
    </row>
    <row r="1042" spans="1:13" x14ac:dyDescent="0.25">
      <c r="A1042" s="1" t="s">
        <v>116</v>
      </c>
      <c r="B1042" s="1" t="s">
        <v>21</v>
      </c>
      <c r="C1042" s="1" t="s">
        <v>22</v>
      </c>
      <c r="D1042">
        <v>6</v>
      </c>
      <c r="E1042">
        <v>25</v>
      </c>
      <c r="F1042">
        <v>4.17</v>
      </c>
      <c r="J1042" s="1" t="s">
        <v>15</v>
      </c>
      <c r="K1042">
        <v>1</v>
      </c>
      <c r="L1042">
        <v>0</v>
      </c>
      <c r="M1042" t="str">
        <f>IF(tblPenalties[[#This Row],[total_yards]]=0, "Declined", "Accepted")</f>
        <v>Accepted</v>
      </c>
    </row>
    <row r="1043" spans="1:13" x14ac:dyDescent="0.25">
      <c r="A1043" s="1" t="s">
        <v>61</v>
      </c>
      <c r="B1043" s="1" t="s">
        <v>13</v>
      </c>
      <c r="C1043" s="1" t="s">
        <v>49</v>
      </c>
      <c r="D1043">
        <v>1</v>
      </c>
      <c r="E1043">
        <v>22</v>
      </c>
      <c r="F1043">
        <v>22</v>
      </c>
      <c r="J1043" s="1" t="s">
        <v>15</v>
      </c>
      <c r="K1043">
        <v>1</v>
      </c>
      <c r="L1043">
        <v>0</v>
      </c>
      <c r="M1043" t="str">
        <f>IF(tblPenalties[[#This Row],[total_yards]]=0, "Declined", "Accepted")</f>
        <v>Accepted</v>
      </c>
    </row>
    <row r="1044" spans="1:13" x14ac:dyDescent="0.25">
      <c r="A1044" s="1" t="s">
        <v>119</v>
      </c>
      <c r="B1044" s="1" t="s">
        <v>52</v>
      </c>
      <c r="C1044" s="1" t="s">
        <v>22</v>
      </c>
      <c r="D1044">
        <v>3</v>
      </c>
      <c r="E1044">
        <v>10</v>
      </c>
      <c r="F1044">
        <v>3.33</v>
      </c>
      <c r="J1044" s="1" t="s">
        <v>15</v>
      </c>
      <c r="K1044">
        <v>1</v>
      </c>
      <c r="L1044">
        <v>0</v>
      </c>
      <c r="M1044" t="str">
        <f>IF(tblPenalties[[#This Row],[total_yards]]=0, "Declined", "Accepted")</f>
        <v>Accepted</v>
      </c>
    </row>
    <row r="1045" spans="1:13" x14ac:dyDescent="0.25">
      <c r="A1045" s="1" t="s">
        <v>70</v>
      </c>
      <c r="B1045" s="1" t="s">
        <v>21</v>
      </c>
      <c r="C1045" s="1" t="s">
        <v>22</v>
      </c>
      <c r="D1045">
        <v>5</v>
      </c>
      <c r="E1045">
        <v>20</v>
      </c>
      <c r="F1045">
        <v>4</v>
      </c>
      <c r="J1045" s="1" t="s">
        <v>15</v>
      </c>
      <c r="K1045">
        <v>1</v>
      </c>
      <c r="L1045">
        <v>0</v>
      </c>
      <c r="M1045" t="str">
        <f>IF(tblPenalties[[#This Row],[total_yards]]=0, "Declined", "Accepted")</f>
        <v>Accepted</v>
      </c>
    </row>
    <row r="1046" spans="1:13" x14ac:dyDescent="0.25">
      <c r="A1046" s="1" t="s">
        <v>148</v>
      </c>
      <c r="B1046" s="1" t="s">
        <v>52</v>
      </c>
      <c r="C1046" s="1" t="s">
        <v>22</v>
      </c>
      <c r="D1046">
        <v>3</v>
      </c>
      <c r="E1046">
        <v>9</v>
      </c>
      <c r="F1046">
        <v>3</v>
      </c>
      <c r="J1046" s="1" t="s">
        <v>15</v>
      </c>
      <c r="K1046">
        <v>1</v>
      </c>
      <c r="L1046">
        <v>0</v>
      </c>
      <c r="M1046" t="str">
        <f>IF(tblPenalties[[#This Row],[total_yards]]=0, "Declined", "Accepted")</f>
        <v>Accepted</v>
      </c>
    </row>
    <row r="1047" spans="1:13" x14ac:dyDescent="0.25">
      <c r="A1047" s="1" t="s">
        <v>148</v>
      </c>
      <c r="B1047" s="1" t="s">
        <v>52</v>
      </c>
      <c r="C1047" s="1" t="s">
        <v>49</v>
      </c>
      <c r="D1047">
        <v>1</v>
      </c>
      <c r="E1047">
        <v>3</v>
      </c>
      <c r="F1047">
        <v>3</v>
      </c>
      <c r="J1047" s="1" t="s">
        <v>15</v>
      </c>
      <c r="K1047">
        <v>1</v>
      </c>
      <c r="L1047">
        <v>0</v>
      </c>
      <c r="M1047" t="str">
        <f>IF(tblPenalties[[#This Row],[total_yards]]=0, "Declined", "Accepted")</f>
        <v>Accepted</v>
      </c>
    </row>
    <row r="1048" spans="1:13" x14ac:dyDescent="0.25">
      <c r="A1048" s="1" t="s">
        <v>73</v>
      </c>
      <c r="B1048" s="1" t="s">
        <v>26</v>
      </c>
      <c r="C1048" s="1" t="s">
        <v>49</v>
      </c>
      <c r="D1048">
        <v>1</v>
      </c>
      <c r="E1048">
        <v>4</v>
      </c>
      <c r="F1048">
        <v>4</v>
      </c>
      <c r="J1048" s="1" t="s">
        <v>15</v>
      </c>
      <c r="K1048">
        <v>1</v>
      </c>
      <c r="L1048">
        <v>0</v>
      </c>
      <c r="M1048" t="str">
        <f>IF(tblPenalties[[#This Row],[total_yards]]=0, "Declined", "Accepted")</f>
        <v>Accepted</v>
      </c>
    </row>
    <row r="1049" spans="1:13" x14ac:dyDescent="0.25">
      <c r="A1049" s="1" t="s">
        <v>150</v>
      </c>
      <c r="B1049" s="1" t="s">
        <v>28</v>
      </c>
      <c r="C1049" s="1" t="s">
        <v>22</v>
      </c>
      <c r="D1049">
        <v>2</v>
      </c>
      <c r="E1049">
        <v>5</v>
      </c>
      <c r="F1049">
        <v>2.5</v>
      </c>
      <c r="J1049" s="1" t="s">
        <v>15</v>
      </c>
      <c r="K1049">
        <v>1</v>
      </c>
      <c r="L1049">
        <v>0</v>
      </c>
      <c r="M1049" t="str">
        <f>IF(tblPenalties[[#This Row],[total_yards]]=0, "Declined", "Accepted")</f>
        <v>Accepted</v>
      </c>
    </row>
    <row r="1050" spans="1:13" x14ac:dyDescent="0.25">
      <c r="A1050" s="1" t="s">
        <v>150</v>
      </c>
      <c r="B1050" s="1" t="s">
        <v>28</v>
      </c>
      <c r="C1050" s="1" t="s">
        <v>49</v>
      </c>
      <c r="D1050">
        <v>1</v>
      </c>
      <c r="E1050">
        <v>3</v>
      </c>
      <c r="F1050">
        <v>3</v>
      </c>
      <c r="J1050" s="1" t="s">
        <v>15</v>
      </c>
      <c r="K1050">
        <v>1</v>
      </c>
      <c r="L1050">
        <v>0</v>
      </c>
      <c r="M1050" t="str">
        <f>IF(tblPenalties[[#This Row],[total_yards]]=0, "Declined", "Accepted")</f>
        <v>Accepted</v>
      </c>
    </row>
    <row r="1051" spans="1:13" x14ac:dyDescent="0.25">
      <c r="A1051" s="1" t="s">
        <v>140</v>
      </c>
      <c r="B1051" s="1" t="s">
        <v>52</v>
      </c>
      <c r="C1051" s="1" t="s">
        <v>22</v>
      </c>
      <c r="D1051">
        <v>2</v>
      </c>
      <c r="E1051">
        <v>5</v>
      </c>
      <c r="F1051">
        <v>2.5</v>
      </c>
      <c r="J1051" s="1" t="s">
        <v>15</v>
      </c>
      <c r="K1051">
        <v>1</v>
      </c>
      <c r="L1051">
        <v>0</v>
      </c>
      <c r="M1051" t="str">
        <f>IF(tblPenalties[[#This Row],[total_yards]]=0, "Declined", "Accepted")</f>
        <v>Accepted</v>
      </c>
    </row>
    <row r="1052" spans="1:13" x14ac:dyDescent="0.25">
      <c r="A1052" s="1" t="s">
        <v>80</v>
      </c>
      <c r="B1052" s="1" t="s">
        <v>52</v>
      </c>
      <c r="C1052" s="1" t="s">
        <v>49</v>
      </c>
      <c r="D1052">
        <v>1</v>
      </c>
      <c r="E1052">
        <v>14</v>
      </c>
      <c r="F1052">
        <v>14</v>
      </c>
      <c r="J1052" s="1" t="s">
        <v>15</v>
      </c>
      <c r="K1052">
        <v>1</v>
      </c>
      <c r="L1052">
        <v>0</v>
      </c>
      <c r="M1052" t="str">
        <f>IF(tblPenalties[[#This Row],[total_yards]]=0, "Declined", "Accepted")</f>
        <v>Accepted</v>
      </c>
    </row>
    <row r="1053" spans="1:13" x14ac:dyDescent="0.25">
      <c r="A1053" s="1" t="s">
        <v>86</v>
      </c>
      <c r="B1053" s="1" t="s">
        <v>40</v>
      </c>
      <c r="C1053" s="1" t="s">
        <v>49</v>
      </c>
      <c r="D1053">
        <v>1</v>
      </c>
      <c r="E1053">
        <v>46</v>
      </c>
      <c r="F1053">
        <v>46</v>
      </c>
      <c r="J1053" s="1" t="s">
        <v>15</v>
      </c>
      <c r="K1053">
        <v>1</v>
      </c>
      <c r="L1053">
        <v>0</v>
      </c>
      <c r="M1053" t="str">
        <f>IF(tblPenalties[[#This Row],[total_yards]]=0, "Declined", "Accepted")</f>
        <v>Accepted</v>
      </c>
    </row>
    <row r="1054" spans="1:13" x14ac:dyDescent="0.25">
      <c r="A1054" s="1" t="s">
        <v>87</v>
      </c>
      <c r="B1054" s="1" t="s">
        <v>26</v>
      </c>
      <c r="C1054" s="1" t="s">
        <v>22</v>
      </c>
      <c r="D1054">
        <v>3</v>
      </c>
      <c r="E1054">
        <v>10</v>
      </c>
      <c r="F1054">
        <v>3.33</v>
      </c>
      <c r="J1054" s="1" t="s">
        <v>15</v>
      </c>
      <c r="K1054">
        <v>1</v>
      </c>
      <c r="L1054">
        <v>0</v>
      </c>
      <c r="M1054" t="str">
        <f>IF(tblPenalties[[#This Row],[total_yards]]=0, "Declined", "Accepted")</f>
        <v>Accepted</v>
      </c>
    </row>
    <row r="1055" spans="1:13" x14ac:dyDescent="0.25">
      <c r="A1055" s="1" t="s">
        <v>149</v>
      </c>
      <c r="B1055" s="1" t="s">
        <v>26</v>
      </c>
      <c r="C1055" s="1" t="s">
        <v>22</v>
      </c>
      <c r="D1055">
        <v>2</v>
      </c>
      <c r="E1055">
        <v>6</v>
      </c>
      <c r="F1055">
        <v>3</v>
      </c>
      <c r="J1055" s="1" t="s">
        <v>15</v>
      </c>
      <c r="K1055">
        <v>1</v>
      </c>
      <c r="L1055">
        <v>0</v>
      </c>
      <c r="M1055" t="str">
        <f>IF(tblPenalties[[#This Row],[total_yards]]=0, "Declined", "Accepted")</f>
        <v>Accepted</v>
      </c>
    </row>
    <row r="1056" spans="1:13" x14ac:dyDescent="0.25">
      <c r="A1056" s="1" t="s">
        <v>89</v>
      </c>
      <c r="B1056" s="1" t="s">
        <v>13</v>
      </c>
      <c r="C1056" s="1" t="s">
        <v>22</v>
      </c>
      <c r="D1056">
        <v>6</v>
      </c>
      <c r="E1056">
        <v>25</v>
      </c>
      <c r="F1056">
        <v>4.17</v>
      </c>
      <c r="J1056" s="1" t="s">
        <v>15</v>
      </c>
      <c r="K1056">
        <v>1</v>
      </c>
      <c r="L1056">
        <v>0</v>
      </c>
      <c r="M1056" t="str">
        <f>IF(tblPenalties[[#This Row],[total_yards]]=0, "Declined", "Accepted")</f>
        <v>Accepted</v>
      </c>
    </row>
    <row r="1057" spans="1:13" x14ac:dyDescent="0.25">
      <c r="A1057" s="1" t="s">
        <v>141</v>
      </c>
      <c r="B1057" s="1" t="s">
        <v>28</v>
      </c>
      <c r="C1057" s="1" t="s">
        <v>22</v>
      </c>
      <c r="D1057">
        <v>6</v>
      </c>
      <c r="E1057">
        <v>20</v>
      </c>
      <c r="F1057">
        <v>3.33</v>
      </c>
      <c r="J1057" s="1" t="s">
        <v>15</v>
      </c>
      <c r="K1057">
        <v>1</v>
      </c>
      <c r="L1057">
        <v>0</v>
      </c>
      <c r="M1057" t="str">
        <f>IF(tblPenalties[[#This Row],[total_yards]]=0, "Declined", "Accepted")</f>
        <v>Accepted</v>
      </c>
    </row>
    <row r="1058" spans="1:13" x14ac:dyDescent="0.25">
      <c r="A1058" s="1" t="s">
        <v>141</v>
      </c>
      <c r="B1058" s="1" t="s">
        <v>28</v>
      </c>
      <c r="C1058" s="1" t="s">
        <v>49</v>
      </c>
      <c r="D1058">
        <v>1</v>
      </c>
      <c r="E1058">
        <v>42</v>
      </c>
      <c r="F1058">
        <v>42</v>
      </c>
      <c r="J1058" s="1" t="s">
        <v>15</v>
      </c>
      <c r="K1058">
        <v>1</v>
      </c>
      <c r="L1058">
        <v>0</v>
      </c>
      <c r="M1058" t="str">
        <f>IF(tblPenalties[[#This Row],[total_yards]]=0, "Declined", "Accepted")</f>
        <v>Accepted</v>
      </c>
    </row>
    <row r="1059" spans="1:13" x14ac:dyDescent="0.25">
      <c r="A1059" s="1" t="s">
        <v>90</v>
      </c>
      <c r="B1059" s="1" t="s">
        <v>28</v>
      </c>
      <c r="C1059" s="1" t="s">
        <v>49</v>
      </c>
      <c r="D1059">
        <v>2</v>
      </c>
      <c r="E1059">
        <v>52</v>
      </c>
      <c r="F1059">
        <v>26</v>
      </c>
      <c r="J1059" s="1" t="s">
        <v>15</v>
      </c>
      <c r="K1059">
        <v>1</v>
      </c>
      <c r="L1059">
        <v>0</v>
      </c>
      <c r="M1059" t="str">
        <f>IF(tblPenalties[[#This Row],[total_yards]]=0, "Declined", "Accepted")</f>
        <v>Accepted</v>
      </c>
    </row>
    <row r="1060" spans="1:13" x14ac:dyDescent="0.25">
      <c r="A1060" s="1" t="s">
        <v>96</v>
      </c>
      <c r="B1060" s="1" t="s">
        <v>34</v>
      </c>
      <c r="C1060" s="1" t="s">
        <v>22</v>
      </c>
      <c r="D1060">
        <v>3</v>
      </c>
      <c r="E1060">
        <v>10</v>
      </c>
      <c r="F1060">
        <v>3.33</v>
      </c>
      <c r="J1060" s="1" t="s">
        <v>15</v>
      </c>
      <c r="K1060">
        <v>1</v>
      </c>
      <c r="L1060">
        <v>0</v>
      </c>
      <c r="M1060" t="str">
        <f>IF(tblPenalties[[#This Row],[total_yards]]=0, "Declined", "Accepted")</f>
        <v>Accepted</v>
      </c>
    </row>
    <row r="1061" spans="1:13" x14ac:dyDescent="0.25">
      <c r="A1061" s="1" t="s">
        <v>97</v>
      </c>
      <c r="B1061" s="1" t="s">
        <v>34</v>
      </c>
      <c r="C1061" s="1" t="s">
        <v>49</v>
      </c>
      <c r="D1061">
        <v>1</v>
      </c>
      <c r="E1061">
        <v>10</v>
      </c>
      <c r="F1061">
        <v>10</v>
      </c>
      <c r="J1061" s="1" t="s">
        <v>15</v>
      </c>
      <c r="K1061">
        <v>1</v>
      </c>
      <c r="L1061">
        <v>0</v>
      </c>
      <c r="M1061" t="str">
        <f>IF(tblPenalties[[#This Row],[total_yards]]=0, "Declined", "Accepted")</f>
        <v>Accepted</v>
      </c>
    </row>
    <row r="1062" spans="1:13" x14ac:dyDescent="0.25">
      <c r="A1062" s="1" t="s">
        <v>98</v>
      </c>
      <c r="B1062" s="1" t="s">
        <v>17</v>
      </c>
      <c r="C1062" s="1" t="s">
        <v>22</v>
      </c>
      <c r="D1062">
        <v>8</v>
      </c>
      <c r="E1062">
        <v>30</v>
      </c>
      <c r="F1062">
        <v>3.75</v>
      </c>
      <c r="J1062" s="1" t="s">
        <v>15</v>
      </c>
      <c r="K1062">
        <v>1</v>
      </c>
      <c r="L1062">
        <v>0</v>
      </c>
      <c r="M1062" t="str">
        <f>IF(tblPenalties[[#This Row],[total_yards]]=0, "Declined", "Accepted")</f>
        <v>Accepted</v>
      </c>
    </row>
    <row r="1063" spans="1:13" x14ac:dyDescent="0.25">
      <c r="A1063" s="1" t="s">
        <v>151</v>
      </c>
      <c r="B1063" s="1" t="s">
        <v>13</v>
      </c>
      <c r="C1063" s="1" t="s">
        <v>22</v>
      </c>
      <c r="D1063">
        <v>4</v>
      </c>
      <c r="E1063">
        <v>15</v>
      </c>
      <c r="F1063">
        <v>3.75</v>
      </c>
      <c r="J1063" s="1" t="s">
        <v>15</v>
      </c>
      <c r="K1063">
        <v>1</v>
      </c>
      <c r="L1063">
        <v>0</v>
      </c>
      <c r="M1063" t="str">
        <f>IF(tblPenalties[[#This Row],[total_yards]]=0, "Declined", "Accepted")</f>
        <v>Accepted</v>
      </c>
    </row>
    <row r="1064" spans="1:13" x14ac:dyDescent="0.25">
      <c r="A1064" s="1" t="s">
        <v>103</v>
      </c>
      <c r="B1064" s="1" t="s">
        <v>34</v>
      </c>
      <c r="C1064" s="1" t="s">
        <v>49</v>
      </c>
      <c r="D1064">
        <v>1</v>
      </c>
      <c r="E1064">
        <v>46</v>
      </c>
      <c r="F1064">
        <v>46</v>
      </c>
      <c r="J1064" s="1" t="s">
        <v>15</v>
      </c>
      <c r="K1064">
        <v>1</v>
      </c>
      <c r="L1064">
        <v>0</v>
      </c>
      <c r="M1064" t="str">
        <f>IF(tblPenalties[[#This Row],[total_yards]]=0, "Declined", "Accepted")</f>
        <v>Accepted</v>
      </c>
    </row>
    <row r="1065" spans="1:13" x14ac:dyDescent="0.25">
      <c r="A1065" s="1" t="s">
        <v>143</v>
      </c>
      <c r="B1065" s="1" t="s">
        <v>40</v>
      </c>
      <c r="C1065" s="1" t="s">
        <v>22</v>
      </c>
      <c r="D1065">
        <v>3</v>
      </c>
      <c r="E1065">
        <v>5</v>
      </c>
      <c r="F1065">
        <v>1.67</v>
      </c>
      <c r="J1065" s="1" t="s">
        <v>15</v>
      </c>
      <c r="K1065">
        <v>1</v>
      </c>
      <c r="L1065">
        <v>0</v>
      </c>
      <c r="M1065" t="str">
        <f>IF(tblPenalties[[#This Row],[total_yards]]=0, "Declined", "Accepted")</f>
        <v>Accepted</v>
      </c>
    </row>
    <row r="1066" spans="1:13" x14ac:dyDescent="0.25">
      <c r="A1066" s="1" t="s">
        <v>107</v>
      </c>
      <c r="B1066" s="1" t="s">
        <v>21</v>
      </c>
      <c r="C1066" s="1" t="s">
        <v>22</v>
      </c>
      <c r="D1066">
        <v>3</v>
      </c>
      <c r="E1066">
        <v>10</v>
      </c>
      <c r="F1066">
        <v>3.33</v>
      </c>
      <c r="J1066" s="1" t="s">
        <v>15</v>
      </c>
      <c r="K1066">
        <v>1</v>
      </c>
      <c r="L1066">
        <v>0</v>
      </c>
      <c r="M1066" t="str">
        <f>IF(tblPenalties[[#This Row],[total_yards]]=0, "Declined", "Accepted")</f>
        <v>Accepted</v>
      </c>
    </row>
    <row r="1067" spans="1:13" x14ac:dyDescent="0.25">
      <c r="A1067" s="1" t="s">
        <v>111</v>
      </c>
      <c r="B1067" s="1" t="s">
        <v>52</v>
      </c>
      <c r="C1067" s="1" t="s">
        <v>22</v>
      </c>
      <c r="D1067">
        <v>3</v>
      </c>
      <c r="E1067">
        <v>10</v>
      </c>
      <c r="F1067">
        <v>3.33</v>
      </c>
      <c r="J1067" s="1" t="s">
        <v>15</v>
      </c>
      <c r="K1067">
        <v>1</v>
      </c>
      <c r="L1067">
        <v>0</v>
      </c>
      <c r="M1067" t="str">
        <f>IF(tblPenalties[[#This Row],[total_yards]]=0, "Declined", "Accepted")</f>
        <v>Accepted</v>
      </c>
    </row>
    <row r="1068" spans="1:13" x14ac:dyDescent="0.25">
      <c r="A1068" s="1" t="s">
        <v>144</v>
      </c>
      <c r="B1068" s="1" t="s">
        <v>26</v>
      </c>
      <c r="C1068" s="1" t="s">
        <v>22</v>
      </c>
      <c r="D1068">
        <v>7</v>
      </c>
      <c r="E1068">
        <v>26</v>
      </c>
      <c r="F1068">
        <v>3.71</v>
      </c>
      <c r="J1068" s="1" t="s">
        <v>15</v>
      </c>
      <c r="K1068">
        <v>1</v>
      </c>
      <c r="L1068">
        <v>0</v>
      </c>
      <c r="M1068" t="str">
        <f>IF(tblPenalties[[#This Row],[total_yards]]=0, "Declined", "Accepted")</f>
        <v>Accepted</v>
      </c>
    </row>
    <row r="1069" spans="1:13" x14ac:dyDescent="0.25">
      <c r="A1069" s="1" t="s">
        <v>134</v>
      </c>
      <c r="B1069" s="1" t="s">
        <v>26</v>
      </c>
      <c r="C1069" s="1" t="s">
        <v>31</v>
      </c>
      <c r="D1069">
        <v>3</v>
      </c>
      <c r="E1069">
        <v>10</v>
      </c>
      <c r="F1069">
        <v>3.33</v>
      </c>
      <c r="J1069" s="1" t="s">
        <v>15</v>
      </c>
      <c r="K1069">
        <v>1</v>
      </c>
      <c r="L1069">
        <v>0</v>
      </c>
      <c r="M1069" t="str">
        <f>IF(tblPenalties[[#This Row],[total_yards]]=0, "Declined", "Accepted")</f>
        <v>Accepted</v>
      </c>
    </row>
    <row r="1070" spans="1:13" x14ac:dyDescent="0.25">
      <c r="A1070" s="1" t="s">
        <v>145</v>
      </c>
      <c r="B1070" s="1" t="s">
        <v>21</v>
      </c>
      <c r="C1070" s="1" t="s">
        <v>31</v>
      </c>
      <c r="D1070">
        <v>4</v>
      </c>
      <c r="E1070">
        <v>10</v>
      </c>
      <c r="F1070">
        <v>2.5</v>
      </c>
      <c r="J1070" s="1" t="s">
        <v>15</v>
      </c>
      <c r="K1070">
        <v>1</v>
      </c>
      <c r="L1070">
        <v>0</v>
      </c>
      <c r="M1070" t="str">
        <f>IF(tblPenalties[[#This Row],[total_yards]]=0, "Declined", "Accepted")</f>
        <v>Accepted</v>
      </c>
    </row>
    <row r="1071" spans="1:13" x14ac:dyDescent="0.25">
      <c r="A1071" s="1" t="s">
        <v>12</v>
      </c>
      <c r="B1071" s="1" t="s">
        <v>13</v>
      </c>
      <c r="C1071" s="1" t="s">
        <v>31</v>
      </c>
      <c r="D1071">
        <v>3</v>
      </c>
      <c r="E1071">
        <v>37</v>
      </c>
      <c r="F1071">
        <v>12.33</v>
      </c>
      <c r="J1071" s="1" t="s">
        <v>15</v>
      </c>
      <c r="K1071">
        <v>1</v>
      </c>
      <c r="L1071">
        <v>0</v>
      </c>
      <c r="M1071" t="str">
        <f>IF(tblPenalties[[#This Row],[total_yards]]=0, "Declined", "Accepted")</f>
        <v>Accepted</v>
      </c>
    </row>
    <row r="1072" spans="1:13" x14ac:dyDescent="0.25">
      <c r="A1072" s="1" t="s">
        <v>16</v>
      </c>
      <c r="B1072" s="1" t="s">
        <v>17</v>
      </c>
      <c r="C1072" s="1" t="s">
        <v>31</v>
      </c>
      <c r="D1072">
        <v>7</v>
      </c>
      <c r="E1072">
        <v>21</v>
      </c>
      <c r="F1072">
        <v>3</v>
      </c>
      <c r="J1072" s="1" t="s">
        <v>15</v>
      </c>
      <c r="K1072">
        <v>1</v>
      </c>
      <c r="L1072">
        <v>0</v>
      </c>
      <c r="M1072" t="str">
        <f>IF(tblPenalties[[#This Row],[total_yards]]=0, "Declined", "Accepted")</f>
        <v>Accepted</v>
      </c>
    </row>
    <row r="1073" spans="1:13" x14ac:dyDescent="0.25">
      <c r="A1073" s="1" t="s">
        <v>135</v>
      </c>
      <c r="B1073" s="1" t="s">
        <v>17</v>
      </c>
      <c r="C1073" s="1" t="s">
        <v>31</v>
      </c>
      <c r="D1073">
        <v>2</v>
      </c>
      <c r="E1073">
        <v>42</v>
      </c>
      <c r="F1073">
        <v>21</v>
      </c>
      <c r="J1073" s="1" t="s">
        <v>15</v>
      </c>
      <c r="K1073">
        <v>1</v>
      </c>
      <c r="L1073">
        <v>0</v>
      </c>
      <c r="M1073" t="str">
        <f>IF(tblPenalties[[#This Row],[total_yards]]=0, "Declined", "Accepted")</f>
        <v>Accepted</v>
      </c>
    </row>
    <row r="1074" spans="1:13" x14ac:dyDescent="0.25">
      <c r="A1074" s="1" t="s">
        <v>18</v>
      </c>
      <c r="B1074" s="1" t="s">
        <v>19</v>
      </c>
      <c r="C1074" s="1" t="s">
        <v>31</v>
      </c>
      <c r="D1074">
        <v>2</v>
      </c>
      <c r="E1074">
        <v>5</v>
      </c>
      <c r="F1074">
        <v>2.5</v>
      </c>
      <c r="J1074" s="1" t="s">
        <v>15</v>
      </c>
      <c r="K1074">
        <v>1</v>
      </c>
      <c r="L1074">
        <v>0</v>
      </c>
      <c r="M1074" t="str">
        <f>IF(tblPenalties[[#This Row],[total_yards]]=0, "Declined", "Accepted")</f>
        <v>Accepted</v>
      </c>
    </row>
    <row r="1075" spans="1:13" x14ac:dyDescent="0.25">
      <c r="A1075" s="1" t="s">
        <v>124</v>
      </c>
      <c r="B1075" s="1" t="s">
        <v>13</v>
      </c>
      <c r="C1075" s="1" t="s">
        <v>31</v>
      </c>
      <c r="D1075">
        <v>2</v>
      </c>
      <c r="E1075">
        <v>24</v>
      </c>
      <c r="F1075">
        <v>12</v>
      </c>
      <c r="J1075" s="1" t="s">
        <v>15</v>
      </c>
      <c r="K1075">
        <v>1</v>
      </c>
      <c r="L1075">
        <v>0</v>
      </c>
      <c r="M1075" t="str">
        <f>IF(tblPenalties[[#This Row],[total_yards]]=0, "Declined", "Accepted")</f>
        <v>Accepted</v>
      </c>
    </row>
    <row r="1076" spans="1:13" x14ac:dyDescent="0.25">
      <c r="A1076" s="1" t="s">
        <v>146</v>
      </c>
      <c r="B1076" s="1" t="s">
        <v>34</v>
      </c>
      <c r="C1076" s="1" t="s">
        <v>31</v>
      </c>
      <c r="D1076">
        <v>5</v>
      </c>
      <c r="E1076">
        <v>12</v>
      </c>
      <c r="F1076">
        <v>2.4</v>
      </c>
      <c r="J1076" s="1" t="s">
        <v>15</v>
      </c>
      <c r="K1076">
        <v>1</v>
      </c>
      <c r="L1076">
        <v>0</v>
      </c>
      <c r="M1076" t="str">
        <f>IF(tblPenalties[[#This Row],[total_yards]]=0, "Declined", "Accepted")</f>
        <v>Accepted</v>
      </c>
    </row>
    <row r="1077" spans="1:13" x14ac:dyDescent="0.25">
      <c r="A1077" s="1" t="s">
        <v>126</v>
      </c>
      <c r="B1077" s="1" t="s">
        <v>19</v>
      </c>
      <c r="C1077" s="1" t="s">
        <v>31</v>
      </c>
      <c r="D1077">
        <v>2</v>
      </c>
      <c r="E1077">
        <v>5</v>
      </c>
      <c r="F1077">
        <v>2.5</v>
      </c>
      <c r="J1077" s="1" t="s">
        <v>15</v>
      </c>
      <c r="K1077">
        <v>1</v>
      </c>
      <c r="L1077">
        <v>0</v>
      </c>
      <c r="M1077" t="str">
        <f>IF(tblPenalties[[#This Row],[total_yards]]=0, "Declined", "Accepted")</f>
        <v>Accepted</v>
      </c>
    </row>
    <row r="1078" spans="1:13" x14ac:dyDescent="0.25">
      <c r="A1078" s="1" t="s">
        <v>20</v>
      </c>
      <c r="B1078" s="1" t="s">
        <v>21</v>
      </c>
      <c r="C1078" s="1" t="s">
        <v>31</v>
      </c>
      <c r="D1078">
        <v>10</v>
      </c>
      <c r="E1078">
        <v>49</v>
      </c>
      <c r="F1078">
        <v>4.9000000000000004</v>
      </c>
      <c r="J1078" s="1" t="s">
        <v>15</v>
      </c>
      <c r="K1078">
        <v>1</v>
      </c>
      <c r="L1078">
        <v>0</v>
      </c>
      <c r="M1078" t="str">
        <f>IF(tblPenalties[[#This Row],[total_yards]]=0, "Declined", "Accepted")</f>
        <v>Accepted</v>
      </c>
    </row>
    <row r="1079" spans="1:13" x14ac:dyDescent="0.25">
      <c r="A1079" s="1" t="s">
        <v>25</v>
      </c>
      <c r="B1079" s="1" t="s">
        <v>26</v>
      </c>
      <c r="C1079" s="1" t="s">
        <v>31</v>
      </c>
      <c r="D1079">
        <v>7</v>
      </c>
      <c r="E1079">
        <v>52</v>
      </c>
      <c r="F1079">
        <v>7.43</v>
      </c>
      <c r="J1079" s="1" t="s">
        <v>15</v>
      </c>
      <c r="K1079">
        <v>1</v>
      </c>
      <c r="L1079">
        <v>0</v>
      </c>
      <c r="M1079" t="str">
        <f>IF(tblPenalties[[#This Row],[total_yards]]=0, "Declined", "Accepted")</f>
        <v>Accepted</v>
      </c>
    </row>
    <row r="1080" spans="1:13" x14ac:dyDescent="0.25">
      <c r="A1080" s="1" t="s">
        <v>27</v>
      </c>
      <c r="B1080" s="1" t="s">
        <v>28</v>
      </c>
      <c r="C1080" s="1" t="s">
        <v>31</v>
      </c>
      <c r="D1080">
        <v>5</v>
      </c>
      <c r="E1080">
        <v>22</v>
      </c>
      <c r="F1080">
        <v>4.4000000000000004</v>
      </c>
      <c r="J1080" s="1" t="s">
        <v>15</v>
      </c>
      <c r="K1080">
        <v>1</v>
      </c>
      <c r="L1080">
        <v>0</v>
      </c>
      <c r="M1080" t="str">
        <f>IF(tblPenalties[[#This Row],[total_yards]]=0, "Declined", "Accepted")</f>
        <v>Accepted</v>
      </c>
    </row>
    <row r="1081" spans="1:13" x14ac:dyDescent="0.25">
      <c r="A1081" s="1" t="s">
        <v>29</v>
      </c>
      <c r="B1081" s="1" t="s">
        <v>21</v>
      </c>
      <c r="C1081" s="1" t="s">
        <v>31</v>
      </c>
      <c r="D1081">
        <v>6</v>
      </c>
      <c r="E1081">
        <v>29</v>
      </c>
      <c r="F1081">
        <v>4.83</v>
      </c>
      <c r="J1081" s="1" t="s">
        <v>15</v>
      </c>
      <c r="K1081">
        <v>1</v>
      </c>
      <c r="L1081">
        <v>0</v>
      </c>
      <c r="M1081" t="str">
        <f>IF(tblPenalties[[#This Row],[total_yards]]=0, "Declined", "Accepted")</f>
        <v>Accepted</v>
      </c>
    </row>
    <row r="1082" spans="1:13" x14ac:dyDescent="0.25">
      <c r="A1082" s="1" t="s">
        <v>136</v>
      </c>
      <c r="B1082" s="1" t="s">
        <v>21</v>
      </c>
      <c r="C1082" s="1" t="s">
        <v>31</v>
      </c>
      <c r="D1082">
        <v>8</v>
      </c>
      <c r="E1082">
        <v>48</v>
      </c>
      <c r="F1082">
        <v>6</v>
      </c>
      <c r="J1082" s="1" t="s">
        <v>15</v>
      </c>
      <c r="K1082">
        <v>1</v>
      </c>
      <c r="L1082">
        <v>0</v>
      </c>
      <c r="M1082" t="str">
        <f>IF(tblPenalties[[#This Row],[total_yards]]=0, "Declined", "Accepted")</f>
        <v>Accepted</v>
      </c>
    </row>
    <row r="1083" spans="1:13" x14ac:dyDescent="0.25">
      <c r="A1083" s="1" t="s">
        <v>32</v>
      </c>
      <c r="B1083" s="1" t="s">
        <v>28</v>
      </c>
      <c r="C1083" s="1" t="s">
        <v>31</v>
      </c>
      <c r="D1083">
        <v>9</v>
      </c>
      <c r="E1083">
        <v>53</v>
      </c>
      <c r="F1083">
        <v>5.89</v>
      </c>
      <c r="J1083" s="1" t="s">
        <v>15</v>
      </c>
      <c r="K1083">
        <v>1</v>
      </c>
      <c r="L1083">
        <v>0</v>
      </c>
      <c r="M1083" t="str">
        <f>IF(tblPenalties[[#This Row],[total_yards]]=0, "Declined", "Accepted")</f>
        <v>Accepted</v>
      </c>
    </row>
    <row r="1084" spans="1:13" x14ac:dyDescent="0.25">
      <c r="A1084" s="1" t="s">
        <v>33</v>
      </c>
      <c r="B1084" s="1" t="s">
        <v>34</v>
      </c>
      <c r="C1084" s="1" t="s">
        <v>31</v>
      </c>
      <c r="D1084">
        <v>2</v>
      </c>
      <c r="E1084">
        <v>5</v>
      </c>
      <c r="F1084">
        <v>2.5</v>
      </c>
      <c r="J1084" s="1" t="s">
        <v>15</v>
      </c>
      <c r="K1084">
        <v>1</v>
      </c>
      <c r="L1084">
        <v>0</v>
      </c>
      <c r="M1084" t="str">
        <f>IF(tblPenalties[[#This Row],[total_yards]]=0, "Declined", "Accepted")</f>
        <v>Accepted</v>
      </c>
    </row>
    <row r="1085" spans="1:13" x14ac:dyDescent="0.25">
      <c r="A1085" s="1" t="s">
        <v>35</v>
      </c>
      <c r="B1085" s="1" t="s">
        <v>28</v>
      </c>
      <c r="C1085" s="1" t="s">
        <v>31</v>
      </c>
      <c r="D1085">
        <v>3</v>
      </c>
      <c r="E1085">
        <v>10</v>
      </c>
      <c r="F1085">
        <v>3.33</v>
      </c>
      <c r="J1085" s="1" t="s">
        <v>15</v>
      </c>
      <c r="K1085">
        <v>1</v>
      </c>
      <c r="L1085">
        <v>0</v>
      </c>
      <c r="M1085" t="str">
        <f>IF(tblPenalties[[#This Row],[total_yards]]=0, "Declined", "Accepted")</f>
        <v>Accepted</v>
      </c>
    </row>
    <row r="1086" spans="1:13" x14ac:dyDescent="0.25">
      <c r="A1086" s="1" t="s">
        <v>36</v>
      </c>
      <c r="B1086" s="1" t="s">
        <v>13</v>
      </c>
      <c r="C1086" s="1" t="s">
        <v>31</v>
      </c>
      <c r="D1086">
        <v>10</v>
      </c>
      <c r="E1086">
        <v>39</v>
      </c>
      <c r="F1086">
        <v>3.9</v>
      </c>
      <c r="J1086" s="1" t="s">
        <v>15</v>
      </c>
      <c r="K1086">
        <v>1</v>
      </c>
      <c r="L1086">
        <v>0</v>
      </c>
      <c r="M1086" t="str">
        <f>IF(tblPenalties[[#This Row],[total_yards]]=0, "Declined", "Accepted")</f>
        <v>Accepted</v>
      </c>
    </row>
    <row r="1087" spans="1:13" x14ac:dyDescent="0.25">
      <c r="A1087" s="1" t="s">
        <v>37</v>
      </c>
      <c r="B1087" s="1" t="s">
        <v>17</v>
      </c>
      <c r="C1087" s="1" t="s">
        <v>31</v>
      </c>
      <c r="D1087">
        <v>3</v>
      </c>
      <c r="E1087">
        <v>17</v>
      </c>
      <c r="F1087">
        <v>5.67</v>
      </c>
      <c r="J1087" s="1" t="s">
        <v>15</v>
      </c>
      <c r="K1087">
        <v>1</v>
      </c>
      <c r="L1087">
        <v>0</v>
      </c>
      <c r="M1087" t="str">
        <f>IF(tblPenalties[[#This Row],[total_yards]]=0, "Declined", "Accepted")</f>
        <v>Accepted</v>
      </c>
    </row>
    <row r="1088" spans="1:13" x14ac:dyDescent="0.25">
      <c r="A1088" s="1" t="s">
        <v>38</v>
      </c>
      <c r="B1088" s="1" t="s">
        <v>26</v>
      </c>
      <c r="C1088" s="1" t="s">
        <v>31</v>
      </c>
      <c r="D1088">
        <v>2</v>
      </c>
      <c r="E1088">
        <v>7</v>
      </c>
      <c r="F1088">
        <v>3.5</v>
      </c>
      <c r="J1088" s="1" t="s">
        <v>15</v>
      </c>
      <c r="K1088">
        <v>1</v>
      </c>
      <c r="L1088">
        <v>0</v>
      </c>
      <c r="M1088" t="str">
        <f>IF(tblPenalties[[#This Row],[total_yards]]=0, "Declined", "Accepted")</f>
        <v>Accepted</v>
      </c>
    </row>
    <row r="1089" spans="1:13" x14ac:dyDescent="0.25">
      <c r="A1089" s="1" t="s">
        <v>137</v>
      </c>
      <c r="B1089" s="1" t="s">
        <v>28</v>
      </c>
      <c r="C1089" s="1" t="s">
        <v>31</v>
      </c>
      <c r="D1089">
        <v>7</v>
      </c>
      <c r="E1089">
        <v>24</v>
      </c>
      <c r="F1089">
        <v>3.43</v>
      </c>
      <c r="J1089" s="1" t="s">
        <v>15</v>
      </c>
      <c r="K1089">
        <v>1</v>
      </c>
      <c r="L1089">
        <v>0</v>
      </c>
      <c r="M1089" t="str">
        <f>IF(tblPenalties[[#This Row],[total_yards]]=0, "Declined", "Accepted")</f>
        <v>Accepted</v>
      </c>
    </row>
    <row r="1090" spans="1:13" x14ac:dyDescent="0.25">
      <c r="A1090" s="1" t="s">
        <v>41</v>
      </c>
      <c r="B1090" s="1" t="s">
        <v>21</v>
      </c>
      <c r="C1090" s="1" t="s">
        <v>31</v>
      </c>
      <c r="D1090">
        <v>4</v>
      </c>
      <c r="E1090">
        <v>15</v>
      </c>
      <c r="F1090">
        <v>3.75</v>
      </c>
      <c r="J1090" s="1" t="s">
        <v>15</v>
      </c>
      <c r="K1090">
        <v>1</v>
      </c>
      <c r="L1090">
        <v>0</v>
      </c>
      <c r="M1090" t="str">
        <f>IF(tblPenalties[[#This Row],[total_yards]]=0, "Declined", "Accepted")</f>
        <v>Accepted</v>
      </c>
    </row>
    <row r="1091" spans="1:13" x14ac:dyDescent="0.25">
      <c r="A1091" s="1" t="s">
        <v>127</v>
      </c>
      <c r="B1091" s="1" t="s">
        <v>34</v>
      </c>
      <c r="C1091" s="1" t="s">
        <v>31</v>
      </c>
      <c r="D1091">
        <v>7</v>
      </c>
      <c r="E1091">
        <v>54</v>
      </c>
      <c r="F1091">
        <v>7.71</v>
      </c>
      <c r="J1091" s="1" t="s">
        <v>15</v>
      </c>
      <c r="K1091">
        <v>1</v>
      </c>
      <c r="L1091">
        <v>0</v>
      </c>
      <c r="M1091" t="str">
        <f>IF(tblPenalties[[#This Row],[total_yards]]=0, "Declined", "Accepted")</f>
        <v>Accepted</v>
      </c>
    </row>
    <row r="1092" spans="1:13" x14ac:dyDescent="0.25">
      <c r="A1092" s="1" t="s">
        <v>42</v>
      </c>
      <c r="B1092" s="1" t="s">
        <v>34</v>
      </c>
      <c r="C1092" s="1" t="s">
        <v>31</v>
      </c>
      <c r="D1092">
        <v>9</v>
      </c>
      <c r="E1092">
        <v>43</v>
      </c>
      <c r="F1092">
        <v>4.78</v>
      </c>
      <c r="J1092" s="1" t="s">
        <v>15</v>
      </c>
      <c r="K1092">
        <v>1</v>
      </c>
      <c r="L1092">
        <v>0</v>
      </c>
      <c r="M1092" t="str">
        <f>IF(tblPenalties[[#This Row],[total_yards]]=0, "Declined", "Accepted")</f>
        <v>Accepted</v>
      </c>
    </row>
    <row r="1093" spans="1:13" x14ac:dyDescent="0.25">
      <c r="A1093" s="1" t="s">
        <v>43</v>
      </c>
      <c r="B1093" s="1" t="s">
        <v>40</v>
      </c>
      <c r="C1093" s="1" t="s">
        <v>31</v>
      </c>
      <c r="D1093">
        <v>4</v>
      </c>
      <c r="E1093">
        <v>10</v>
      </c>
      <c r="F1093">
        <v>2.5</v>
      </c>
      <c r="J1093" s="1" t="s">
        <v>15</v>
      </c>
      <c r="K1093">
        <v>1</v>
      </c>
      <c r="L1093">
        <v>0</v>
      </c>
      <c r="M1093" t="str">
        <f>IF(tblPenalties[[#This Row],[total_yards]]=0, "Declined", "Accepted")</f>
        <v>Accepted</v>
      </c>
    </row>
    <row r="1094" spans="1:13" x14ac:dyDescent="0.25">
      <c r="A1094" s="1" t="s">
        <v>44</v>
      </c>
      <c r="B1094" s="1" t="s">
        <v>19</v>
      </c>
      <c r="C1094" s="1" t="s">
        <v>31</v>
      </c>
      <c r="D1094">
        <v>8</v>
      </c>
      <c r="E1094">
        <v>81</v>
      </c>
      <c r="F1094">
        <v>10.119999999999999</v>
      </c>
      <c r="J1094" s="1" t="s">
        <v>15</v>
      </c>
      <c r="K1094">
        <v>1</v>
      </c>
      <c r="L1094">
        <v>0</v>
      </c>
      <c r="M1094" t="str">
        <f>IF(tblPenalties[[#This Row],[total_yards]]=0, "Declined", "Accepted")</f>
        <v>Accepted</v>
      </c>
    </row>
    <row r="1095" spans="1:13" x14ac:dyDescent="0.25">
      <c r="A1095" s="1" t="s">
        <v>45</v>
      </c>
      <c r="B1095" s="1" t="s">
        <v>28</v>
      </c>
      <c r="C1095" s="1" t="s">
        <v>31</v>
      </c>
      <c r="D1095">
        <v>4</v>
      </c>
      <c r="E1095">
        <v>5</v>
      </c>
      <c r="F1095">
        <v>1.25</v>
      </c>
      <c r="J1095" s="1" t="s">
        <v>15</v>
      </c>
      <c r="K1095">
        <v>1</v>
      </c>
      <c r="L1095">
        <v>0</v>
      </c>
      <c r="M1095" t="str">
        <f>IF(tblPenalties[[#This Row],[total_yards]]=0, "Declined", "Accepted")</f>
        <v>Accepted</v>
      </c>
    </row>
    <row r="1096" spans="1:13" x14ac:dyDescent="0.25">
      <c r="A1096" s="1" t="s">
        <v>47</v>
      </c>
      <c r="B1096" s="1" t="s">
        <v>13</v>
      </c>
      <c r="C1096" s="1" t="s">
        <v>31</v>
      </c>
      <c r="D1096">
        <v>4</v>
      </c>
      <c r="E1096">
        <v>19</v>
      </c>
      <c r="F1096">
        <v>4.75</v>
      </c>
      <c r="J1096" s="1" t="s">
        <v>15</v>
      </c>
      <c r="K1096">
        <v>1</v>
      </c>
      <c r="L1096">
        <v>0</v>
      </c>
      <c r="M1096" t="str">
        <f>IF(tblPenalties[[#This Row],[total_yards]]=0, "Declined", "Accepted")</f>
        <v>Accepted</v>
      </c>
    </row>
    <row r="1097" spans="1:13" x14ac:dyDescent="0.25">
      <c r="A1097" s="1" t="s">
        <v>147</v>
      </c>
      <c r="B1097" s="1" t="s">
        <v>13</v>
      </c>
      <c r="C1097" s="1" t="s">
        <v>31</v>
      </c>
      <c r="D1097">
        <v>4</v>
      </c>
      <c r="E1097">
        <v>15</v>
      </c>
      <c r="F1097">
        <v>3.75</v>
      </c>
      <c r="J1097" s="1" t="s">
        <v>15</v>
      </c>
      <c r="K1097">
        <v>1</v>
      </c>
      <c r="L1097">
        <v>0</v>
      </c>
      <c r="M1097" t="str">
        <f>IF(tblPenalties[[#This Row],[total_yards]]=0, "Declined", "Accepted")</f>
        <v>Accepted</v>
      </c>
    </row>
    <row r="1098" spans="1:13" x14ac:dyDescent="0.25">
      <c r="A1098" s="1" t="s">
        <v>48</v>
      </c>
      <c r="B1098" s="1" t="s">
        <v>26</v>
      </c>
      <c r="C1098" s="1" t="s">
        <v>31</v>
      </c>
      <c r="D1098">
        <v>3</v>
      </c>
      <c r="E1098">
        <v>131</v>
      </c>
      <c r="F1098">
        <v>43.67</v>
      </c>
      <c r="J1098" s="1" t="s">
        <v>15</v>
      </c>
      <c r="K1098">
        <v>1</v>
      </c>
      <c r="L1098">
        <v>0</v>
      </c>
      <c r="M1098" t="str">
        <f>IF(tblPenalties[[#This Row],[total_yards]]=0, "Declined", "Accepted")</f>
        <v>Accepted</v>
      </c>
    </row>
    <row r="1099" spans="1:13" x14ac:dyDescent="0.25">
      <c r="A1099" s="1" t="s">
        <v>50</v>
      </c>
      <c r="B1099" s="1" t="s">
        <v>17</v>
      </c>
      <c r="C1099" s="1" t="s">
        <v>31</v>
      </c>
      <c r="D1099">
        <v>5</v>
      </c>
      <c r="E1099">
        <v>32</v>
      </c>
      <c r="F1099">
        <v>6.4</v>
      </c>
      <c r="J1099" s="1" t="s">
        <v>15</v>
      </c>
      <c r="K1099">
        <v>1</v>
      </c>
      <c r="L1099">
        <v>0</v>
      </c>
      <c r="M1099" t="str">
        <f>IF(tblPenalties[[#This Row],[total_yards]]=0, "Declined", "Accepted")</f>
        <v>Accepted</v>
      </c>
    </row>
    <row r="1100" spans="1:13" x14ac:dyDescent="0.25">
      <c r="A1100" s="1" t="s">
        <v>51</v>
      </c>
      <c r="B1100" s="1" t="s">
        <v>52</v>
      </c>
      <c r="C1100" s="1" t="s">
        <v>31</v>
      </c>
      <c r="D1100">
        <v>6</v>
      </c>
      <c r="E1100">
        <v>33</v>
      </c>
      <c r="F1100">
        <v>5.5</v>
      </c>
      <c r="J1100" s="1" t="s">
        <v>15</v>
      </c>
      <c r="K1100">
        <v>1</v>
      </c>
      <c r="L1100">
        <v>0</v>
      </c>
      <c r="M1100" t="str">
        <f>IF(tblPenalties[[#This Row],[total_yards]]=0, "Declined", "Accepted")</f>
        <v>Accepted</v>
      </c>
    </row>
    <row r="1101" spans="1:13" x14ac:dyDescent="0.25">
      <c r="A1101" s="1" t="s">
        <v>53</v>
      </c>
      <c r="B1101" s="1" t="s">
        <v>17</v>
      </c>
      <c r="C1101" s="1" t="s">
        <v>31</v>
      </c>
      <c r="D1101">
        <v>1</v>
      </c>
      <c r="E1101">
        <v>3</v>
      </c>
      <c r="F1101">
        <v>3</v>
      </c>
      <c r="J1101" s="1" t="s">
        <v>15</v>
      </c>
      <c r="K1101">
        <v>1</v>
      </c>
      <c r="L1101">
        <v>0</v>
      </c>
      <c r="M1101" t="str">
        <f>IF(tblPenalties[[#This Row],[total_yards]]=0, "Declined", "Accepted")</f>
        <v>Accepted</v>
      </c>
    </row>
    <row r="1102" spans="1:13" x14ac:dyDescent="0.25">
      <c r="A1102" s="1" t="s">
        <v>55</v>
      </c>
      <c r="B1102" s="1" t="s">
        <v>40</v>
      </c>
      <c r="C1102" s="1" t="s">
        <v>31</v>
      </c>
      <c r="D1102">
        <v>6</v>
      </c>
      <c r="E1102">
        <v>85</v>
      </c>
      <c r="F1102">
        <v>14.17</v>
      </c>
      <c r="J1102" s="1" t="s">
        <v>15</v>
      </c>
      <c r="K1102">
        <v>1</v>
      </c>
      <c r="L1102">
        <v>0</v>
      </c>
      <c r="M1102" t="str">
        <f>IF(tblPenalties[[#This Row],[total_yards]]=0, "Declined", "Accepted")</f>
        <v>Accepted</v>
      </c>
    </row>
    <row r="1103" spans="1:13" x14ac:dyDescent="0.25">
      <c r="A1103" s="1" t="s">
        <v>138</v>
      </c>
      <c r="B1103" s="1" t="s">
        <v>17</v>
      </c>
      <c r="C1103" s="1" t="s">
        <v>31</v>
      </c>
      <c r="D1103">
        <v>3</v>
      </c>
      <c r="E1103">
        <v>12</v>
      </c>
      <c r="F1103">
        <v>4</v>
      </c>
      <c r="J1103" s="1" t="s">
        <v>15</v>
      </c>
      <c r="K1103">
        <v>1</v>
      </c>
      <c r="L1103">
        <v>0</v>
      </c>
      <c r="M1103" t="str">
        <f>IF(tblPenalties[[#This Row],[total_yards]]=0, "Declined", "Accepted")</f>
        <v>Accepted</v>
      </c>
    </row>
    <row r="1104" spans="1:13" x14ac:dyDescent="0.25">
      <c r="A1104" s="1" t="s">
        <v>56</v>
      </c>
      <c r="B1104" s="1" t="s">
        <v>40</v>
      </c>
      <c r="C1104" s="1" t="s">
        <v>31</v>
      </c>
      <c r="D1104">
        <v>4</v>
      </c>
      <c r="E1104">
        <v>19</v>
      </c>
      <c r="F1104">
        <v>4.75</v>
      </c>
      <c r="J1104" s="1" t="s">
        <v>15</v>
      </c>
      <c r="K1104">
        <v>1</v>
      </c>
      <c r="L1104">
        <v>0</v>
      </c>
      <c r="M1104" t="str">
        <f>IF(tblPenalties[[#This Row],[total_yards]]=0, "Declined", "Accepted")</f>
        <v>Accepted</v>
      </c>
    </row>
    <row r="1105" spans="1:13" x14ac:dyDescent="0.25">
      <c r="A1105" s="1" t="s">
        <v>116</v>
      </c>
      <c r="B1105" s="1" t="s">
        <v>21</v>
      </c>
      <c r="C1105" s="1" t="s">
        <v>31</v>
      </c>
      <c r="D1105">
        <v>1</v>
      </c>
      <c r="E1105">
        <v>2</v>
      </c>
      <c r="F1105">
        <v>2</v>
      </c>
      <c r="J1105" s="1" t="s">
        <v>15</v>
      </c>
      <c r="K1105">
        <v>1</v>
      </c>
      <c r="L1105">
        <v>0</v>
      </c>
      <c r="M1105" t="str">
        <f>IF(tblPenalties[[#This Row],[total_yards]]=0, "Declined", "Accepted")</f>
        <v>Accepted</v>
      </c>
    </row>
    <row r="1106" spans="1:13" x14ac:dyDescent="0.25">
      <c r="A1106" s="1" t="s">
        <v>57</v>
      </c>
      <c r="B1106" s="1" t="s">
        <v>19</v>
      </c>
      <c r="C1106" s="1" t="s">
        <v>31</v>
      </c>
      <c r="D1106">
        <v>7</v>
      </c>
      <c r="E1106">
        <v>33</v>
      </c>
      <c r="F1106">
        <v>4.71</v>
      </c>
      <c r="J1106" s="1" t="s">
        <v>15</v>
      </c>
      <c r="K1106">
        <v>1</v>
      </c>
      <c r="L1106">
        <v>0</v>
      </c>
      <c r="M1106" t="str">
        <f>IF(tblPenalties[[#This Row],[total_yards]]=0, "Declined", "Accepted")</f>
        <v>Accepted</v>
      </c>
    </row>
    <row r="1107" spans="1:13" x14ac:dyDescent="0.25">
      <c r="A1107" s="1" t="s">
        <v>58</v>
      </c>
      <c r="B1107" s="1" t="s">
        <v>19</v>
      </c>
      <c r="C1107" s="1" t="s">
        <v>31</v>
      </c>
      <c r="D1107">
        <v>5</v>
      </c>
      <c r="E1107">
        <v>20</v>
      </c>
      <c r="F1107">
        <v>4</v>
      </c>
      <c r="J1107" s="1" t="s">
        <v>15</v>
      </c>
      <c r="K1107">
        <v>1</v>
      </c>
      <c r="L1107">
        <v>0</v>
      </c>
      <c r="M1107" t="str">
        <f>IF(tblPenalties[[#This Row],[total_yards]]=0, "Declined", "Accepted")</f>
        <v>Accepted</v>
      </c>
    </row>
    <row r="1108" spans="1:13" x14ac:dyDescent="0.25">
      <c r="A1108" s="1" t="s">
        <v>59</v>
      </c>
      <c r="B1108" s="1" t="s">
        <v>40</v>
      </c>
      <c r="C1108" s="1" t="s">
        <v>31</v>
      </c>
      <c r="D1108">
        <v>6</v>
      </c>
      <c r="E1108">
        <v>24</v>
      </c>
      <c r="F1108">
        <v>4</v>
      </c>
      <c r="J1108" s="1" t="s">
        <v>15</v>
      </c>
      <c r="K1108">
        <v>1</v>
      </c>
      <c r="L1108">
        <v>0</v>
      </c>
      <c r="M1108" t="str">
        <f>IF(tblPenalties[[#This Row],[total_yards]]=0, "Declined", "Accepted")</f>
        <v>Accepted</v>
      </c>
    </row>
    <row r="1109" spans="1:13" x14ac:dyDescent="0.25">
      <c r="A1109" s="1" t="s">
        <v>61</v>
      </c>
      <c r="B1109" s="1" t="s">
        <v>13</v>
      </c>
      <c r="C1109" s="1" t="s">
        <v>31</v>
      </c>
      <c r="D1109">
        <v>7</v>
      </c>
      <c r="E1109">
        <v>31</v>
      </c>
      <c r="F1109">
        <v>4.43</v>
      </c>
      <c r="J1109" s="1" t="s">
        <v>15</v>
      </c>
      <c r="K1109">
        <v>1</v>
      </c>
      <c r="L1109">
        <v>0</v>
      </c>
      <c r="M1109" t="str">
        <f>IF(tblPenalties[[#This Row],[total_yards]]=0, "Declined", "Accepted")</f>
        <v>Accepted</v>
      </c>
    </row>
    <row r="1110" spans="1:13" x14ac:dyDescent="0.25">
      <c r="A1110" s="1" t="s">
        <v>62</v>
      </c>
      <c r="B1110" s="1" t="s">
        <v>40</v>
      </c>
      <c r="C1110" s="1" t="s">
        <v>31</v>
      </c>
      <c r="D1110">
        <v>2</v>
      </c>
      <c r="E1110">
        <v>64</v>
      </c>
      <c r="F1110">
        <v>32</v>
      </c>
      <c r="J1110" s="1" t="s">
        <v>15</v>
      </c>
      <c r="K1110">
        <v>1</v>
      </c>
      <c r="L1110">
        <v>0</v>
      </c>
      <c r="M1110" t="str">
        <f>IF(tblPenalties[[#This Row],[total_yards]]=0, "Declined", "Accepted")</f>
        <v>Accepted</v>
      </c>
    </row>
    <row r="1111" spans="1:13" x14ac:dyDescent="0.25">
      <c r="A1111" s="1" t="s">
        <v>63</v>
      </c>
      <c r="B1111" s="1" t="s">
        <v>13</v>
      </c>
      <c r="C1111" s="1" t="s">
        <v>31</v>
      </c>
      <c r="D1111">
        <v>8</v>
      </c>
      <c r="E1111">
        <v>27</v>
      </c>
      <c r="F1111">
        <v>3.38</v>
      </c>
      <c r="J1111" s="1" t="s">
        <v>15</v>
      </c>
      <c r="K1111">
        <v>1</v>
      </c>
      <c r="L1111">
        <v>0</v>
      </c>
      <c r="M1111" t="str">
        <f>IF(tblPenalties[[#This Row],[total_yards]]=0, "Declined", "Accepted")</f>
        <v>Accepted</v>
      </c>
    </row>
    <row r="1112" spans="1:13" x14ac:dyDescent="0.25">
      <c r="A1112" s="1" t="s">
        <v>65</v>
      </c>
      <c r="B1112" s="1" t="s">
        <v>34</v>
      </c>
      <c r="C1112" s="1" t="s">
        <v>31</v>
      </c>
      <c r="D1112">
        <v>9</v>
      </c>
      <c r="E1112">
        <v>75</v>
      </c>
      <c r="F1112">
        <v>8.33</v>
      </c>
      <c r="J1112" s="1" t="s">
        <v>15</v>
      </c>
      <c r="K1112">
        <v>1</v>
      </c>
      <c r="L1112">
        <v>0</v>
      </c>
      <c r="M1112" t="str">
        <f>IF(tblPenalties[[#This Row],[total_yards]]=0, "Declined", "Accepted")</f>
        <v>Accepted</v>
      </c>
    </row>
    <row r="1113" spans="1:13" x14ac:dyDescent="0.25">
      <c r="A1113" s="1" t="s">
        <v>67</v>
      </c>
      <c r="B1113" s="1" t="s">
        <v>52</v>
      </c>
      <c r="C1113" s="1" t="s">
        <v>31</v>
      </c>
      <c r="D1113">
        <v>1</v>
      </c>
      <c r="E1113">
        <v>1</v>
      </c>
      <c r="F1113">
        <v>1</v>
      </c>
      <c r="J1113" s="1" t="s">
        <v>15</v>
      </c>
      <c r="K1113">
        <v>1</v>
      </c>
      <c r="L1113">
        <v>0</v>
      </c>
      <c r="M1113" t="str">
        <f>IF(tblPenalties[[#This Row],[total_yards]]=0, "Declined", "Accepted")</f>
        <v>Accepted</v>
      </c>
    </row>
    <row r="1114" spans="1:13" x14ac:dyDescent="0.25">
      <c r="A1114" s="1" t="s">
        <v>119</v>
      </c>
      <c r="B1114" s="1" t="s">
        <v>52</v>
      </c>
      <c r="C1114" s="1" t="s">
        <v>31</v>
      </c>
      <c r="D1114">
        <v>6</v>
      </c>
      <c r="E1114">
        <v>18</v>
      </c>
      <c r="F1114">
        <v>3</v>
      </c>
      <c r="J1114" s="1" t="s">
        <v>15</v>
      </c>
      <c r="K1114">
        <v>1</v>
      </c>
      <c r="L1114">
        <v>0</v>
      </c>
      <c r="M1114" t="str">
        <f>IF(tblPenalties[[#This Row],[total_yards]]=0, "Declined", "Accepted")</f>
        <v>Accepted</v>
      </c>
    </row>
    <row r="1115" spans="1:13" x14ac:dyDescent="0.25">
      <c r="A1115" s="1" t="s">
        <v>68</v>
      </c>
      <c r="B1115" s="1" t="s">
        <v>19</v>
      </c>
      <c r="C1115" s="1" t="s">
        <v>31</v>
      </c>
      <c r="D1115">
        <v>8</v>
      </c>
      <c r="E1115">
        <v>76</v>
      </c>
      <c r="F1115">
        <v>9.5</v>
      </c>
      <c r="J1115" s="1" t="s">
        <v>15</v>
      </c>
      <c r="K1115">
        <v>1</v>
      </c>
      <c r="L1115">
        <v>0</v>
      </c>
      <c r="M1115" t="str">
        <f>IF(tblPenalties[[#This Row],[total_yards]]=0, "Declined", "Accepted")</f>
        <v>Accepted</v>
      </c>
    </row>
    <row r="1116" spans="1:13" x14ac:dyDescent="0.25">
      <c r="A1116" s="1" t="s">
        <v>69</v>
      </c>
      <c r="B1116" s="1" t="s">
        <v>40</v>
      </c>
      <c r="C1116" s="1" t="s">
        <v>31</v>
      </c>
      <c r="D1116">
        <v>4</v>
      </c>
      <c r="E1116">
        <v>38</v>
      </c>
      <c r="F1116">
        <v>9.5</v>
      </c>
      <c r="J1116" s="1" t="s">
        <v>15</v>
      </c>
      <c r="K1116">
        <v>1</v>
      </c>
      <c r="L1116">
        <v>0</v>
      </c>
      <c r="M1116" t="str">
        <f>IF(tblPenalties[[#This Row],[total_yards]]=0, "Declined", "Accepted")</f>
        <v>Accepted</v>
      </c>
    </row>
    <row r="1117" spans="1:13" x14ac:dyDescent="0.25">
      <c r="A1117" s="1" t="s">
        <v>70</v>
      </c>
      <c r="B1117" s="1" t="s">
        <v>21</v>
      </c>
      <c r="C1117" s="1" t="s">
        <v>31</v>
      </c>
      <c r="D1117">
        <v>3</v>
      </c>
      <c r="E1117">
        <v>23</v>
      </c>
      <c r="F1117">
        <v>7.67</v>
      </c>
      <c r="J1117" s="1" t="s">
        <v>15</v>
      </c>
      <c r="K1117">
        <v>1</v>
      </c>
      <c r="L1117">
        <v>0</v>
      </c>
      <c r="M1117" t="str">
        <f>IF(tblPenalties[[#This Row],[total_yards]]=0, "Declined", "Accepted")</f>
        <v>Accepted</v>
      </c>
    </row>
    <row r="1118" spans="1:13" x14ac:dyDescent="0.25">
      <c r="A1118" s="1" t="s">
        <v>71</v>
      </c>
      <c r="B1118" s="1" t="s">
        <v>34</v>
      </c>
      <c r="C1118" s="1" t="s">
        <v>31</v>
      </c>
      <c r="D1118">
        <v>7</v>
      </c>
      <c r="E1118">
        <v>88</v>
      </c>
      <c r="F1118">
        <v>12.57</v>
      </c>
      <c r="J1118" s="1" t="s">
        <v>15</v>
      </c>
      <c r="K1118">
        <v>1</v>
      </c>
      <c r="L1118">
        <v>0</v>
      </c>
      <c r="M1118" t="str">
        <f>IF(tblPenalties[[#This Row],[total_yards]]=0, "Declined", "Accepted")</f>
        <v>Accepted</v>
      </c>
    </row>
    <row r="1119" spans="1:13" x14ac:dyDescent="0.25">
      <c r="A1119" s="1" t="s">
        <v>121</v>
      </c>
      <c r="B1119" s="1" t="s">
        <v>28</v>
      </c>
      <c r="C1119" s="1" t="s">
        <v>31</v>
      </c>
      <c r="D1119">
        <v>2</v>
      </c>
      <c r="E1119">
        <v>3</v>
      </c>
      <c r="F1119">
        <v>1.5</v>
      </c>
      <c r="J1119" s="1" t="s">
        <v>15</v>
      </c>
      <c r="K1119">
        <v>1</v>
      </c>
      <c r="L1119">
        <v>0</v>
      </c>
      <c r="M1119" t="str">
        <f>IF(tblPenalties[[#This Row],[total_yards]]=0, "Declined", "Accepted")</f>
        <v>Accepted</v>
      </c>
    </row>
    <row r="1120" spans="1:13" x14ac:dyDescent="0.25">
      <c r="A1120" s="1" t="s">
        <v>72</v>
      </c>
      <c r="B1120" s="1" t="s">
        <v>34</v>
      </c>
      <c r="C1120" s="1" t="s">
        <v>31</v>
      </c>
      <c r="D1120">
        <v>4</v>
      </c>
      <c r="E1120">
        <v>6</v>
      </c>
      <c r="F1120">
        <v>1.5</v>
      </c>
      <c r="J1120" s="1" t="s">
        <v>15</v>
      </c>
      <c r="K1120">
        <v>1</v>
      </c>
      <c r="L1120">
        <v>0</v>
      </c>
      <c r="M1120" t="str">
        <f>IF(tblPenalties[[#This Row],[total_yards]]=0, "Declined", "Accepted")</f>
        <v>Accepted</v>
      </c>
    </row>
    <row r="1121" spans="1:13" x14ac:dyDescent="0.25">
      <c r="A1121" s="1" t="s">
        <v>148</v>
      </c>
      <c r="B1121" s="1" t="s">
        <v>52</v>
      </c>
      <c r="C1121" s="1" t="s">
        <v>31</v>
      </c>
      <c r="D1121">
        <v>2</v>
      </c>
      <c r="E1121">
        <v>5</v>
      </c>
      <c r="F1121">
        <v>2.5</v>
      </c>
      <c r="J1121" s="1" t="s">
        <v>15</v>
      </c>
      <c r="K1121">
        <v>1</v>
      </c>
      <c r="L1121">
        <v>0</v>
      </c>
      <c r="M1121" t="str">
        <f>IF(tblPenalties[[#This Row],[total_yards]]=0, "Declined", "Accepted")</f>
        <v>Accepted</v>
      </c>
    </row>
    <row r="1122" spans="1:13" x14ac:dyDescent="0.25">
      <c r="A1122" s="1" t="s">
        <v>123</v>
      </c>
      <c r="B1122" s="1" t="s">
        <v>26</v>
      </c>
      <c r="C1122" s="1" t="s">
        <v>31</v>
      </c>
      <c r="D1122">
        <v>4</v>
      </c>
      <c r="E1122">
        <v>83</v>
      </c>
      <c r="F1122">
        <v>20.75</v>
      </c>
      <c r="J1122" s="1" t="s">
        <v>15</v>
      </c>
      <c r="K1122">
        <v>1</v>
      </c>
      <c r="L1122">
        <v>0</v>
      </c>
      <c r="M1122" t="str">
        <f>IF(tblPenalties[[#This Row],[total_yards]]=0, "Declined", "Accepted")</f>
        <v>Accepted</v>
      </c>
    </row>
    <row r="1123" spans="1:13" x14ac:dyDescent="0.25">
      <c r="A1123" s="1" t="s">
        <v>73</v>
      </c>
      <c r="B1123" s="1" t="s">
        <v>26</v>
      </c>
      <c r="C1123" s="1" t="s">
        <v>31</v>
      </c>
      <c r="D1123">
        <v>8</v>
      </c>
      <c r="E1123">
        <v>77</v>
      </c>
      <c r="F1123">
        <v>9.6199999999999992</v>
      </c>
      <c r="J1123" s="1" t="s">
        <v>15</v>
      </c>
      <c r="K1123">
        <v>1</v>
      </c>
      <c r="L1123">
        <v>0</v>
      </c>
      <c r="M1123" t="str">
        <f>IF(tblPenalties[[#This Row],[total_yards]]=0, "Declined", "Accepted")</f>
        <v>Accepted</v>
      </c>
    </row>
    <row r="1124" spans="1:13" x14ac:dyDescent="0.25">
      <c r="A1124" s="1" t="s">
        <v>74</v>
      </c>
      <c r="B1124" s="1" t="s">
        <v>40</v>
      </c>
      <c r="C1124" s="1" t="s">
        <v>31</v>
      </c>
      <c r="D1124">
        <v>9</v>
      </c>
      <c r="E1124">
        <v>47</v>
      </c>
      <c r="F1124">
        <v>5.22</v>
      </c>
      <c r="J1124" s="1" t="s">
        <v>15</v>
      </c>
      <c r="K1124">
        <v>1</v>
      </c>
      <c r="L1124">
        <v>0</v>
      </c>
      <c r="M1124" t="str">
        <f>IF(tblPenalties[[#This Row],[total_yards]]=0, "Declined", "Accepted")</f>
        <v>Accepted</v>
      </c>
    </row>
    <row r="1125" spans="1:13" x14ac:dyDescent="0.25">
      <c r="A1125" s="1" t="s">
        <v>150</v>
      </c>
      <c r="B1125" s="1" t="s">
        <v>28</v>
      </c>
      <c r="C1125" s="1" t="s">
        <v>31</v>
      </c>
      <c r="D1125">
        <v>4</v>
      </c>
      <c r="E1125">
        <v>50</v>
      </c>
      <c r="F1125">
        <v>12.5</v>
      </c>
      <c r="J1125" s="1" t="s">
        <v>15</v>
      </c>
      <c r="K1125">
        <v>1</v>
      </c>
      <c r="L1125">
        <v>0</v>
      </c>
      <c r="M1125" t="str">
        <f>IF(tblPenalties[[#This Row],[total_yards]]=0, "Declined", "Accepted")</f>
        <v>Accepted</v>
      </c>
    </row>
    <row r="1126" spans="1:13" x14ac:dyDescent="0.25">
      <c r="A1126" s="1" t="s">
        <v>140</v>
      </c>
      <c r="B1126" s="1" t="s">
        <v>52</v>
      </c>
      <c r="C1126" s="1" t="s">
        <v>31</v>
      </c>
      <c r="D1126">
        <v>3</v>
      </c>
      <c r="E1126">
        <v>10</v>
      </c>
      <c r="F1126">
        <v>3.33</v>
      </c>
      <c r="J1126" s="1" t="s">
        <v>15</v>
      </c>
      <c r="K1126">
        <v>1</v>
      </c>
      <c r="L1126">
        <v>0</v>
      </c>
      <c r="M1126" t="str">
        <f>IF(tblPenalties[[#This Row],[total_yards]]=0, "Declined", "Accepted")</f>
        <v>Accepted</v>
      </c>
    </row>
    <row r="1127" spans="1:13" x14ac:dyDescent="0.25">
      <c r="A1127" s="1" t="s">
        <v>75</v>
      </c>
      <c r="B1127" s="1" t="s">
        <v>13</v>
      </c>
      <c r="C1127" s="1" t="s">
        <v>31</v>
      </c>
      <c r="D1127">
        <v>7</v>
      </c>
      <c r="E1127">
        <v>21</v>
      </c>
      <c r="F1127">
        <v>3</v>
      </c>
      <c r="J1127" s="1" t="s">
        <v>15</v>
      </c>
      <c r="K1127">
        <v>1</v>
      </c>
      <c r="L1127">
        <v>0</v>
      </c>
      <c r="M1127" t="str">
        <f>IF(tblPenalties[[#This Row],[total_yards]]=0, "Declined", "Accepted")</f>
        <v>Accepted</v>
      </c>
    </row>
    <row r="1128" spans="1:13" x14ac:dyDescent="0.25">
      <c r="A1128" s="1" t="s">
        <v>76</v>
      </c>
      <c r="B1128" s="1" t="s">
        <v>21</v>
      </c>
      <c r="C1128" s="1" t="s">
        <v>31</v>
      </c>
      <c r="D1128">
        <v>4</v>
      </c>
      <c r="E1128">
        <v>5</v>
      </c>
      <c r="F1128">
        <v>1.25</v>
      </c>
      <c r="J1128" s="1" t="s">
        <v>15</v>
      </c>
      <c r="K1128">
        <v>1</v>
      </c>
      <c r="L1128">
        <v>0</v>
      </c>
      <c r="M1128" t="str">
        <f>IF(tblPenalties[[#This Row],[total_yards]]=0, "Declined", "Accepted")</f>
        <v>Accepted</v>
      </c>
    </row>
    <row r="1129" spans="1:13" x14ac:dyDescent="0.25">
      <c r="A1129" s="1" t="s">
        <v>77</v>
      </c>
      <c r="B1129" s="1" t="s">
        <v>17</v>
      </c>
      <c r="C1129" s="1" t="s">
        <v>31</v>
      </c>
      <c r="D1129">
        <v>1</v>
      </c>
      <c r="E1129">
        <v>45</v>
      </c>
      <c r="F1129">
        <v>45</v>
      </c>
      <c r="J1129" s="1" t="s">
        <v>15</v>
      </c>
      <c r="K1129">
        <v>1</v>
      </c>
      <c r="L1129">
        <v>0</v>
      </c>
      <c r="M1129" t="str">
        <f>IF(tblPenalties[[#This Row],[total_yards]]=0, "Declined", "Accepted")</f>
        <v>Accepted</v>
      </c>
    </row>
    <row r="1130" spans="1:13" x14ac:dyDescent="0.25">
      <c r="A1130" s="1" t="s">
        <v>78</v>
      </c>
      <c r="B1130" s="1" t="s">
        <v>79</v>
      </c>
      <c r="C1130" s="1" t="s">
        <v>31</v>
      </c>
      <c r="D1130">
        <v>9</v>
      </c>
      <c r="E1130">
        <v>78</v>
      </c>
      <c r="F1130">
        <v>8.67</v>
      </c>
      <c r="J1130" s="1" t="s">
        <v>15</v>
      </c>
      <c r="K1130">
        <v>1</v>
      </c>
      <c r="L1130">
        <v>0</v>
      </c>
      <c r="M1130" t="str">
        <f>IF(tblPenalties[[#This Row],[total_yards]]=0, "Declined", "Accepted")</f>
        <v>Accepted</v>
      </c>
    </row>
    <row r="1131" spans="1:13" x14ac:dyDescent="0.25">
      <c r="A1131" s="1" t="s">
        <v>80</v>
      </c>
      <c r="B1131" s="1" t="s">
        <v>52</v>
      </c>
      <c r="C1131" s="1" t="s">
        <v>31</v>
      </c>
      <c r="D1131">
        <v>5</v>
      </c>
      <c r="E1131">
        <v>13</v>
      </c>
      <c r="F1131">
        <v>2.6</v>
      </c>
      <c r="J1131" s="1" t="s">
        <v>15</v>
      </c>
      <c r="K1131">
        <v>1</v>
      </c>
      <c r="L1131">
        <v>0</v>
      </c>
      <c r="M1131" t="str">
        <f>IF(tblPenalties[[#This Row],[total_yards]]=0, "Declined", "Accepted")</f>
        <v>Accepted</v>
      </c>
    </row>
    <row r="1132" spans="1:13" x14ac:dyDescent="0.25">
      <c r="A1132" s="1" t="s">
        <v>81</v>
      </c>
      <c r="B1132" s="1" t="s">
        <v>52</v>
      </c>
      <c r="C1132" s="1" t="s">
        <v>31</v>
      </c>
      <c r="D1132">
        <v>6</v>
      </c>
      <c r="E1132">
        <v>45</v>
      </c>
      <c r="F1132">
        <v>7.5</v>
      </c>
      <c r="J1132" s="1" t="s">
        <v>15</v>
      </c>
      <c r="K1132">
        <v>1</v>
      </c>
      <c r="L1132">
        <v>0</v>
      </c>
      <c r="M1132" t="str">
        <f>IF(tblPenalties[[#This Row],[total_yards]]=0, "Declined", "Accepted")</f>
        <v>Accepted</v>
      </c>
    </row>
    <row r="1133" spans="1:13" x14ac:dyDescent="0.25">
      <c r="A1133" s="1" t="s">
        <v>82</v>
      </c>
      <c r="B1133" s="1" t="s">
        <v>34</v>
      </c>
      <c r="C1133" s="1" t="s">
        <v>31</v>
      </c>
      <c r="D1133">
        <v>4</v>
      </c>
      <c r="E1133">
        <v>19</v>
      </c>
      <c r="F1133">
        <v>4.75</v>
      </c>
      <c r="J1133" s="1" t="s">
        <v>15</v>
      </c>
      <c r="K1133">
        <v>1</v>
      </c>
      <c r="L1133">
        <v>0</v>
      </c>
      <c r="M1133" t="str">
        <f>IF(tblPenalties[[#This Row],[total_yards]]=0, "Declined", "Accepted")</f>
        <v>Accepted</v>
      </c>
    </row>
    <row r="1134" spans="1:13" x14ac:dyDescent="0.25">
      <c r="A1134" s="1" t="s">
        <v>83</v>
      </c>
      <c r="B1134" s="1" t="s">
        <v>52</v>
      </c>
      <c r="C1134" s="1" t="s">
        <v>31</v>
      </c>
      <c r="D1134">
        <v>4</v>
      </c>
      <c r="E1134">
        <v>11</v>
      </c>
      <c r="F1134">
        <v>2.75</v>
      </c>
      <c r="J1134" s="1" t="s">
        <v>15</v>
      </c>
      <c r="K1134">
        <v>1</v>
      </c>
      <c r="L1134">
        <v>0</v>
      </c>
      <c r="M1134" t="str">
        <f>IF(tblPenalties[[#This Row],[total_yards]]=0, "Declined", "Accepted")</f>
        <v>Accepted</v>
      </c>
    </row>
    <row r="1135" spans="1:13" x14ac:dyDescent="0.25">
      <c r="A1135" s="1" t="s">
        <v>84</v>
      </c>
      <c r="B1135" s="1" t="s">
        <v>13</v>
      </c>
      <c r="C1135" s="1" t="s">
        <v>31</v>
      </c>
      <c r="D1135">
        <v>10</v>
      </c>
      <c r="E1135">
        <v>39</v>
      </c>
      <c r="F1135">
        <v>3.9</v>
      </c>
      <c r="J1135" s="1" t="s">
        <v>15</v>
      </c>
      <c r="K1135">
        <v>1</v>
      </c>
      <c r="L1135">
        <v>0</v>
      </c>
      <c r="M1135" t="str">
        <f>IF(tblPenalties[[#This Row],[total_yards]]=0, "Declined", "Accepted")</f>
        <v>Accepted</v>
      </c>
    </row>
    <row r="1136" spans="1:13" x14ac:dyDescent="0.25">
      <c r="A1136" s="1" t="s">
        <v>86</v>
      </c>
      <c r="B1136" s="1" t="s">
        <v>40</v>
      </c>
      <c r="C1136" s="1" t="s">
        <v>31</v>
      </c>
      <c r="D1136">
        <v>2</v>
      </c>
      <c r="E1136">
        <v>8</v>
      </c>
      <c r="F1136">
        <v>4</v>
      </c>
      <c r="J1136" s="1" t="s">
        <v>15</v>
      </c>
      <c r="K1136">
        <v>1</v>
      </c>
      <c r="L1136">
        <v>0</v>
      </c>
      <c r="M1136" t="str">
        <f>IF(tblPenalties[[#This Row],[total_yards]]=0, "Declined", "Accepted")</f>
        <v>Accepted</v>
      </c>
    </row>
    <row r="1137" spans="1:13" x14ac:dyDescent="0.25">
      <c r="A1137" s="1" t="s">
        <v>87</v>
      </c>
      <c r="B1137" s="1" t="s">
        <v>26</v>
      </c>
      <c r="C1137" s="1" t="s">
        <v>31</v>
      </c>
      <c r="D1137">
        <v>9</v>
      </c>
      <c r="E1137">
        <v>32</v>
      </c>
      <c r="F1137">
        <v>3.56</v>
      </c>
      <c r="J1137" s="1" t="s">
        <v>15</v>
      </c>
      <c r="K1137">
        <v>1</v>
      </c>
      <c r="L1137">
        <v>0</v>
      </c>
      <c r="M1137" t="str">
        <f>IF(tblPenalties[[#This Row],[total_yards]]=0, "Declined", "Accepted")</f>
        <v>Accepted</v>
      </c>
    </row>
    <row r="1138" spans="1:13" x14ac:dyDescent="0.25">
      <c r="A1138" s="1" t="s">
        <v>149</v>
      </c>
      <c r="B1138" s="1" t="s">
        <v>26</v>
      </c>
      <c r="C1138" s="1" t="s">
        <v>31</v>
      </c>
      <c r="D1138">
        <v>9</v>
      </c>
      <c r="E1138">
        <v>49</v>
      </c>
      <c r="F1138">
        <v>5.44</v>
      </c>
      <c r="J1138" s="1" t="s">
        <v>15</v>
      </c>
      <c r="K1138">
        <v>1</v>
      </c>
      <c r="L1138">
        <v>0</v>
      </c>
      <c r="M1138" t="str">
        <f>IF(tblPenalties[[#This Row],[total_yards]]=0, "Declined", "Accepted")</f>
        <v>Accepted</v>
      </c>
    </row>
    <row r="1139" spans="1:13" x14ac:dyDescent="0.25">
      <c r="A1139" s="1" t="s">
        <v>88</v>
      </c>
      <c r="B1139" s="1" t="s">
        <v>19</v>
      </c>
      <c r="C1139" s="1" t="s">
        <v>31</v>
      </c>
      <c r="D1139">
        <v>4</v>
      </c>
      <c r="E1139">
        <v>15</v>
      </c>
      <c r="F1139">
        <v>3.75</v>
      </c>
      <c r="J1139" s="1" t="s">
        <v>15</v>
      </c>
      <c r="K1139">
        <v>1</v>
      </c>
      <c r="L1139">
        <v>0</v>
      </c>
      <c r="M1139" t="str">
        <f>IF(tblPenalties[[#This Row],[total_yards]]=0, "Declined", "Accepted")</f>
        <v>Accepted</v>
      </c>
    </row>
    <row r="1140" spans="1:13" x14ac:dyDescent="0.25">
      <c r="A1140" s="1" t="s">
        <v>89</v>
      </c>
      <c r="B1140" s="1" t="s">
        <v>13</v>
      </c>
      <c r="C1140" s="1" t="s">
        <v>31</v>
      </c>
      <c r="D1140">
        <v>11</v>
      </c>
      <c r="E1140">
        <v>35</v>
      </c>
      <c r="F1140">
        <v>3.18</v>
      </c>
      <c r="J1140" s="1" t="s">
        <v>15</v>
      </c>
      <c r="K1140">
        <v>1</v>
      </c>
      <c r="L1140">
        <v>0</v>
      </c>
      <c r="M1140" t="str">
        <f>IF(tblPenalties[[#This Row],[total_yards]]=0, "Declined", "Accepted")</f>
        <v>Accepted</v>
      </c>
    </row>
    <row r="1141" spans="1:13" x14ac:dyDescent="0.25">
      <c r="A1141" s="1" t="s">
        <v>141</v>
      </c>
      <c r="B1141" s="1" t="s">
        <v>28</v>
      </c>
      <c r="C1141" s="1" t="s">
        <v>31</v>
      </c>
      <c r="D1141">
        <v>9</v>
      </c>
      <c r="E1141">
        <v>108</v>
      </c>
      <c r="F1141">
        <v>12</v>
      </c>
      <c r="J1141" s="1" t="s">
        <v>15</v>
      </c>
      <c r="K1141">
        <v>1</v>
      </c>
      <c r="L1141">
        <v>0</v>
      </c>
      <c r="M1141" t="str">
        <f>IF(tblPenalties[[#This Row],[total_yards]]=0, "Declined", "Accepted")</f>
        <v>Accepted</v>
      </c>
    </row>
    <row r="1142" spans="1:13" x14ac:dyDescent="0.25">
      <c r="A1142" s="1" t="s">
        <v>90</v>
      </c>
      <c r="B1142" s="1" t="s">
        <v>28</v>
      </c>
      <c r="C1142" s="1" t="s">
        <v>31</v>
      </c>
      <c r="D1142">
        <v>7</v>
      </c>
      <c r="E1142">
        <v>36</v>
      </c>
      <c r="F1142">
        <v>5.14</v>
      </c>
      <c r="J1142" s="1" t="s">
        <v>15</v>
      </c>
      <c r="K1142">
        <v>1</v>
      </c>
      <c r="L1142">
        <v>0</v>
      </c>
      <c r="M1142" t="str">
        <f>IF(tblPenalties[[#This Row],[total_yards]]=0, "Declined", "Accepted")</f>
        <v>Accepted</v>
      </c>
    </row>
    <row r="1143" spans="1:13" x14ac:dyDescent="0.25">
      <c r="A1143" s="1" t="s">
        <v>92</v>
      </c>
      <c r="B1143" s="1" t="s">
        <v>34</v>
      </c>
      <c r="C1143" s="1" t="s">
        <v>31</v>
      </c>
      <c r="D1143">
        <v>8</v>
      </c>
      <c r="E1143">
        <v>53</v>
      </c>
      <c r="F1143">
        <v>6.62</v>
      </c>
      <c r="J1143" s="1" t="s">
        <v>15</v>
      </c>
      <c r="K1143">
        <v>1</v>
      </c>
      <c r="L1143">
        <v>0</v>
      </c>
      <c r="M1143" t="str">
        <f>IF(tblPenalties[[#This Row],[total_yards]]=0, "Declined", "Accepted")</f>
        <v>Accepted</v>
      </c>
    </row>
    <row r="1144" spans="1:13" x14ac:dyDescent="0.25">
      <c r="A1144" s="1" t="s">
        <v>93</v>
      </c>
      <c r="B1144" s="1" t="s">
        <v>21</v>
      </c>
      <c r="C1144" s="1" t="s">
        <v>31</v>
      </c>
      <c r="D1144">
        <v>2</v>
      </c>
      <c r="E1144">
        <v>2</v>
      </c>
      <c r="F1144">
        <v>1</v>
      </c>
      <c r="J1144" s="1" t="s">
        <v>15</v>
      </c>
      <c r="K1144">
        <v>1</v>
      </c>
      <c r="L1144">
        <v>0</v>
      </c>
      <c r="M1144" t="str">
        <f>IF(tblPenalties[[#This Row],[total_yards]]=0, "Declined", "Accepted")</f>
        <v>Accepted</v>
      </c>
    </row>
    <row r="1145" spans="1:13" x14ac:dyDescent="0.25">
      <c r="A1145" s="1" t="s">
        <v>94</v>
      </c>
      <c r="B1145" s="1" t="s">
        <v>13</v>
      </c>
      <c r="C1145" s="1" t="s">
        <v>31</v>
      </c>
      <c r="D1145">
        <v>2</v>
      </c>
      <c r="E1145">
        <v>5</v>
      </c>
      <c r="F1145">
        <v>2.5</v>
      </c>
      <c r="J1145" s="1" t="s">
        <v>15</v>
      </c>
      <c r="K1145">
        <v>1</v>
      </c>
      <c r="L1145">
        <v>0</v>
      </c>
      <c r="M1145" t="str">
        <f>IF(tblPenalties[[#This Row],[total_yards]]=0, "Declined", "Accepted")</f>
        <v>Accepted</v>
      </c>
    </row>
    <row r="1146" spans="1:13" x14ac:dyDescent="0.25">
      <c r="A1146" s="1" t="s">
        <v>96</v>
      </c>
      <c r="B1146" s="1" t="s">
        <v>34</v>
      </c>
      <c r="C1146" s="1" t="s">
        <v>31</v>
      </c>
      <c r="D1146">
        <v>3</v>
      </c>
      <c r="E1146">
        <v>13</v>
      </c>
      <c r="F1146">
        <v>4.33</v>
      </c>
      <c r="J1146" s="1" t="s">
        <v>15</v>
      </c>
      <c r="K1146">
        <v>1</v>
      </c>
      <c r="L1146">
        <v>0</v>
      </c>
      <c r="M1146" t="str">
        <f>IF(tblPenalties[[#This Row],[total_yards]]=0, "Declined", "Accepted")</f>
        <v>Accepted</v>
      </c>
    </row>
    <row r="1147" spans="1:13" x14ac:dyDescent="0.25">
      <c r="A1147" s="1" t="s">
        <v>97</v>
      </c>
      <c r="B1147" s="1" t="s">
        <v>34</v>
      </c>
      <c r="C1147" s="1" t="s">
        <v>31</v>
      </c>
      <c r="D1147">
        <v>4</v>
      </c>
      <c r="E1147">
        <v>10</v>
      </c>
      <c r="F1147">
        <v>2.5</v>
      </c>
      <c r="J1147" s="1" t="s">
        <v>15</v>
      </c>
      <c r="K1147">
        <v>1</v>
      </c>
      <c r="L1147">
        <v>0</v>
      </c>
      <c r="M1147" t="str">
        <f>IF(tblPenalties[[#This Row],[total_yards]]=0, "Declined", "Accepted")</f>
        <v>Accepted</v>
      </c>
    </row>
    <row r="1148" spans="1:13" x14ac:dyDescent="0.25">
      <c r="A1148" s="1" t="s">
        <v>98</v>
      </c>
      <c r="B1148" s="1" t="s">
        <v>17</v>
      </c>
      <c r="C1148" s="1" t="s">
        <v>31</v>
      </c>
      <c r="D1148">
        <v>4</v>
      </c>
      <c r="E1148">
        <v>37</v>
      </c>
      <c r="F1148">
        <v>9.25</v>
      </c>
      <c r="J1148" s="1" t="s">
        <v>15</v>
      </c>
      <c r="K1148">
        <v>1</v>
      </c>
      <c r="L1148">
        <v>0</v>
      </c>
      <c r="M1148" t="str">
        <f>IF(tblPenalties[[#This Row],[total_yards]]=0, "Declined", "Accepted")</f>
        <v>Accepted</v>
      </c>
    </row>
    <row r="1149" spans="1:13" x14ac:dyDescent="0.25">
      <c r="A1149" s="1" t="s">
        <v>99</v>
      </c>
      <c r="B1149" s="1" t="s">
        <v>100</v>
      </c>
      <c r="C1149" s="1" t="s">
        <v>31</v>
      </c>
      <c r="D1149">
        <v>4</v>
      </c>
      <c r="E1149">
        <v>47</v>
      </c>
      <c r="F1149">
        <v>11.75</v>
      </c>
      <c r="J1149" s="1" t="s">
        <v>15</v>
      </c>
      <c r="K1149">
        <v>1</v>
      </c>
      <c r="L1149">
        <v>0</v>
      </c>
      <c r="M1149" t="str">
        <f>IF(tblPenalties[[#This Row],[total_yards]]=0, "Declined", "Accepted")</f>
        <v>Accepted</v>
      </c>
    </row>
    <row r="1150" spans="1:13" x14ac:dyDescent="0.25">
      <c r="A1150" s="1" t="s">
        <v>151</v>
      </c>
      <c r="B1150" s="1" t="s">
        <v>13</v>
      </c>
      <c r="C1150" s="1" t="s">
        <v>31</v>
      </c>
      <c r="D1150">
        <v>3</v>
      </c>
      <c r="E1150">
        <v>19</v>
      </c>
      <c r="F1150">
        <v>6.33</v>
      </c>
      <c r="J1150" s="1" t="s">
        <v>15</v>
      </c>
      <c r="K1150">
        <v>1</v>
      </c>
      <c r="L1150">
        <v>0</v>
      </c>
      <c r="M1150" t="str">
        <f>IF(tblPenalties[[#This Row],[total_yards]]=0, "Declined", "Accepted")</f>
        <v>Accepted</v>
      </c>
    </row>
    <row r="1151" spans="1:13" x14ac:dyDescent="0.25">
      <c r="A1151" s="1" t="s">
        <v>102</v>
      </c>
      <c r="B1151" s="1" t="s">
        <v>26</v>
      </c>
      <c r="C1151" s="1" t="s">
        <v>31</v>
      </c>
      <c r="D1151">
        <v>6</v>
      </c>
      <c r="E1151">
        <v>84</v>
      </c>
      <c r="F1151">
        <v>14</v>
      </c>
      <c r="J1151" s="1" t="s">
        <v>15</v>
      </c>
      <c r="K1151">
        <v>1</v>
      </c>
      <c r="L1151">
        <v>0</v>
      </c>
      <c r="M1151" t="str">
        <f>IF(tblPenalties[[#This Row],[total_yards]]=0, "Declined", "Accepted")</f>
        <v>Accepted</v>
      </c>
    </row>
    <row r="1152" spans="1:13" x14ac:dyDescent="0.25">
      <c r="A1152" s="1" t="s">
        <v>143</v>
      </c>
      <c r="B1152" s="1" t="s">
        <v>40</v>
      </c>
      <c r="C1152" s="1" t="s">
        <v>31</v>
      </c>
      <c r="D1152">
        <v>5</v>
      </c>
      <c r="E1152">
        <v>15</v>
      </c>
      <c r="F1152">
        <v>3</v>
      </c>
      <c r="J1152" s="1" t="s">
        <v>15</v>
      </c>
      <c r="K1152">
        <v>1</v>
      </c>
      <c r="L1152">
        <v>0</v>
      </c>
      <c r="M1152" t="str">
        <f>IF(tblPenalties[[#This Row],[total_yards]]=0, "Declined", "Accepted")</f>
        <v>Accepted</v>
      </c>
    </row>
    <row r="1153" spans="1:13" x14ac:dyDescent="0.25">
      <c r="A1153" s="1" t="s">
        <v>104</v>
      </c>
      <c r="B1153" s="1" t="s">
        <v>34</v>
      </c>
      <c r="C1153" s="1" t="s">
        <v>31</v>
      </c>
      <c r="D1153">
        <v>4</v>
      </c>
      <c r="E1153">
        <v>42</v>
      </c>
      <c r="F1153">
        <v>10.5</v>
      </c>
      <c r="J1153" s="1" t="s">
        <v>15</v>
      </c>
      <c r="K1153">
        <v>1</v>
      </c>
      <c r="L1153">
        <v>0</v>
      </c>
      <c r="M1153" t="str">
        <f>IF(tblPenalties[[#This Row],[total_yards]]=0, "Declined", "Accepted")</f>
        <v>Accepted</v>
      </c>
    </row>
    <row r="1154" spans="1:13" x14ac:dyDescent="0.25">
      <c r="A1154" s="1" t="s">
        <v>105</v>
      </c>
      <c r="B1154" s="1" t="s">
        <v>26</v>
      </c>
      <c r="C1154" s="1" t="s">
        <v>31</v>
      </c>
      <c r="D1154">
        <v>3</v>
      </c>
      <c r="E1154">
        <v>75</v>
      </c>
      <c r="F1154">
        <v>25</v>
      </c>
      <c r="J1154" s="1" t="s">
        <v>15</v>
      </c>
      <c r="K1154">
        <v>1</v>
      </c>
      <c r="L1154">
        <v>0</v>
      </c>
      <c r="M1154" t="str">
        <f>IF(tblPenalties[[#This Row],[total_yards]]=0, "Declined", "Accepted")</f>
        <v>Accepted</v>
      </c>
    </row>
    <row r="1155" spans="1:13" x14ac:dyDescent="0.25">
      <c r="A1155" s="1" t="s">
        <v>106</v>
      </c>
      <c r="B1155" s="1" t="s">
        <v>28</v>
      </c>
      <c r="C1155" s="1" t="s">
        <v>31</v>
      </c>
      <c r="D1155">
        <v>7</v>
      </c>
      <c r="E1155">
        <v>13</v>
      </c>
      <c r="F1155">
        <v>1.86</v>
      </c>
      <c r="J1155" s="1" t="s">
        <v>15</v>
      </c>
      <c r="K1155">
        <v>1</v>
      </c>
      <c r="L1155">
        <v>0</v>
      </c>
      <c r="M1155" t="str">
        <f>IF(tblPenalties[[#This Row],[total_yards]]=0, "Declined", "Accepted")</f>
        <v>Accepted</v>
      </c>
    </row>
    <row r="1156" spans="1:13" x14ac:dyDescent="0.25">
      <c r="A1156" s="1" t="s">
        <v>132</v>
      </c>
      <c r="B1156" s="1" t="s">
        <v>40</v>
      </c>
      <c r="C1156" s="1" t="s">
        <v>31</v>
      </c>
      <c r="D1156">
        <v>8</v>
      </c>
      <c r="E1156">
        <v>36</v>
      </c>
      <c r="F1156">
        <v>4.5</v>
      </c>
      <c r="J1156" s="1" t="s">
        <v>15</v>
      </c>
      <c r="K1156">
        <v>1</v>
      </c>
      <c r="L1156">
        <v>0</v>
      </c>
      <c r="M1156" t="str">
        <f>IF(tblPenalties[[#This Row],[total_yards]]=0, "Declined", "Accepted")</f>
        <v>Accepted</v>
      </c>
    </row>
    <row r="1157" spans="1:13" x14ac:dyDescent="0.25">
      <c r="A1157" s="1" t="s">
        <v>108</v>
      </c>
      <c r="B1157" s="1" t="s">
        <v>28</v>
      </c>
      <c r="C1157" s="1" t="s">
        <v>31</v>
      </c>
      <c r="D1157">
        <v>3</v>
      </c>
      <c r="E1157">
        <v>10</v>
      </c>
      <c r="F1157">
        <v>3.33</v>
      </c>
      <c r="J1157" s="1" t="s">
        <v>15</v>
      </c>
      <c r="K1157">
        <v>1</v>
      </c>
      <c r="L1157">
        <v>0</v>
      </c>
      <c r="M1157" t="str">
        <f>IF(tblPenalties[[#This Row],[total_yards]]=0, "Declined", "Accepted")</f>
        <v>Accepted</v>
      </c>
    </row>
    <row r="1158" spans="1:13" x14ac:dyDescent="0.25">
      <c r="A1158" s="1" t="s">
        <v>109</v>
      </c>
      <c r="B1158" s="1" t="s">
        <v>79</v>
      </c>
      <c r="C1158" s="1" t="s">
        <v>31</v>
      </c>
      <c r="D1158">
        <v>9</v>
      </c>
      <c r="E1158">
        <v>78</v>
      </c>
      <c r="F1158">
        <v>8.67</v>
      </c>
      <c r="J1158" s="1" t="s">
        <v>15</v>
      </c>
      <c r="K1158">
        <v>1</v>
      </c>
      <c r="L1158">
        <v>0</v>
      </c>
      <c r="M1158" t="str">
        <f>IF(tblPenalties[[#This Row],[total_yards]]=0, "Declined", "Accepted")</f>
        <v>Accepted</v>
      </c>
    </row>
    <row r="1159" spans="1:13" x14ac:dyDescent="0.25">
      <c r="A1159" s="1" t="s">
        <v>110</v>
      </c>
      <c r="B1159" s="1" t="s">
        <v>17</v>
      </c>
      <c r="C1159" s="1" t="s">
        <v>31</v>
      </c>
      <c r="D1159">
        <v>9</v>
      </c>
      <c r="E1159">
        <v>121</v>
      </c>
      <c r="F1159">
        <v>13.44</v>
      </c>
      <c r="J1159" s="1" t="s">
        <v>15</v>
      </c>
      <c r="K1159">
        <v>1</v>
      </c>
      <c r="L1159">
        <v>0</v>
      </c>
      <c r="M1159" t="str">
        <f>IF(tblPenalties[[#This Row],[total_yards]]=0, "Declined", "Accepted")</f>
        <v>Accepted</v>
      </c>
    </row>
    <row r="1160" spans="1:13" x14ac:dyDescent="0.25">
      <c r="A1160" s="1" t="s">
        <v>111</v>
      </c>
      <c r="B1160" s="1" t="s">
        <v>52</v>
      </c>
      <c r="C1160" s="1" t="s">
        <v>31</v>
      </c>
      <c r="D1160">
        <v>3</v>
      </c>
      <c r="E1160">
        <v>5</v>
      </c>
      <c r="F1160">
        <v>1.67</v>
      </c>
      <c r="J1160" s="1" t="s">
        <v>15</v>
      </c>
      <c r="K1160">
        <v>1</v>
      </c>
      <c r="L1160">
        <v>0</v>
      </c>
      <c r="M1160" t="str">
        <f>IF(tblPenalties[[#This Row],[total_yards]]=0, "Declined", "Accepted")</f>
        <v>Accepted</v>
      </c>
    </row>
    <row r="1161" spans="1:13" x14ac:dyDescent="0.25">
      <c r="A1161" s="1" t="s">
        <v>144</v>
      </c>
      <c r="B1161" s="1" t="s">
        <v>26</v>
      </c>
      <c r="C1161" s="1" t="s">
        <v>31</v>
      </c>
      <c r="D1161">
        <v>2</v>
      </c>
      <c r="E1161">
        <v>24</v>
      </c>
      <c r="F1161">
        <v>12</v>
      </c>
      <c r="J1161" s="1" t="s">
        <v>15</v>
      </c>
      <c r="K1161">
        <v>1</v>
      </c>
      <c r="L1161">
        <v>0</v>
      </c>
      <c r="M1161" t="str">
        <f>IF(tblPenalties[[#This Row],[total_yards]]=0, "Declined", "Accepted")</f>
        <v>Accepted</v>
      </c>
    </row>
    <row r="1162" spans="1:13" x14ac:dyDescent="0.25">
      <c r="A1162" s="1" t="s">
        <v>153</v>
      </c>
      <c r="B1162" s="1" t="s">
        <v>52</v>
      </c>
      <c r="C1162" s="1" t="s">
        <v>129</v>
      </c>
      <c r="D1162">
        <v>6</v>
      </c>
      <c r="E1162">
        <v>65</v>
      </c>
      <c r="F1162">
        <v>10.83</v>
      </c>
      <c r="I1162">
        <v>21</v>
      </c>
      <c r="J1162" s="1" t="s">
        <v>130</v>
      </c>
      <c r="K1162">
        <v>1</v>
      </c>
      <c r="L1162">
        <v>0</v>
      </c>
      <c r="M1162" t="str">
        <f>IF(tblPenalties[[#This Row],[total_yards]]=0, "Declined", "Accepted")</f>
        <v>Accepted</v>
      </c>
    </row>
    <row r="1163" spans="1:13" x14ac:dyDescent="0.25">
      <c r="A1163" s="1" t="s">
        <v>153</v>
      </c>
      <c r="B1163" s="1" t="s">
        <v>52</v>
      </c>
      <c r="C1163" s="1" t="s">
        <v>14</v>
      </c>
      <c r="D1163">
        <v>4</v>
      </c>
      <c r="E1163">
        <v>20</v>
      </c>
      <c r="F1163">
        <v>5</v>
      </c>
      <c r="I1163">
        <v>21</v>
      </c>
      <c r="J1163" s="1" t="s">
        <v>15</v>
      </c>
      <c r="K1163">
        <v>1</v>
      </c>
      <c r="L1163">
        <v>0</v>
      </c>
      <c r="M1163" t="str">
        <f>IF(tblPenalties[[#This Row],[total_yards]]=0, "Declined", "Accepted")</f>
        <v>Accepted</v>
      </c>
    </row>
    <row r="1164" spans="1:13" x14ac:dyDescent="0.25">
      <c r="A1164" s="1" t="s">
        <v>153</v>
      </c>
      <c r="B1164" s="1" t="s">
        <v>52</v>
      </c>
      <c r="C1164" s="1" t="s">
        <v>31</v>
      </c>
      <c r="D1164">
        <v>3</v>
      </c>
      <c r="E1164">
        <v>5</v>
      </c>
      <c r="F1164">
        <v>1.67</v>
      </c>
      <c r="I1164">
        <v>21</v>
      </c>
      <c r="J1164" s="1" t="s">
        <v>15</v>
      </c>
      <c r="K1164">
        <v>1</v>
      </c>
      <c r="L1164">
        <v>0</v>
      </c>
      <c r="M1164" t="str">
        <f>IF(tblPenalties[[#This Row],[total_yards]]=0, "Declined", "Accepted")</f>
        <v>Accepted</v>
      </c>
    </row>
    <row r="1165" spans="1:13" x14ac:dyDescent="0.25">
      <c r="A1165" s="1" t="s">
        <v>153</v>
      </c>
      <c r="B1165" s="1" t="s">
        <v>52</v>
      </c>
      <c r="C1165" s="1" t="s">
        <v>117</v>
      </c>
      <c r="D1165">
        <v>3</v>
      </c>
      <c r="E1165">
        <v>30</v>
      </c>
      <c r="F1165">
        <v>10</v>
      </c>
      <c r="I1165">
        <v>21</v>
      </c>
      <c r="J1165" s="1" t="s">
        <v>118</v>
      </c>
      <c r="K1165">
        <v>1</v>
      </c>
      <c r="L1165">
        <v>0</v>
      </c>
      <c r="M1165" t="str">
        <f>IF(tblPenalties[[#This Row],[total_yards]]=0, "Declined", "Accepted")</f>
        <v>Accepted</v>
      </c>
    </row>
    <row r="1166" spans="1:13" x14ac:dyDescent="0.25">
      <c r="A1166" s="1" t="s">
        <v>153</v>
      </c>
      <c r="B1166" s="1" t="s">
        <v>52</v>
      </c>
      <c r="C1166" s="1" t="s">
        <v>115</v>
      </c>
      <c r="D1166">
        <v>3</v>
      </c>
      <c r="E1166">
        <v>12</v>
      </c>
      <c r="F1166">
        <v>4</v>
      </c>
      <c r="I1166">
        <v>21</v>
      </c>
      <c r="J1166" s="1" t="s">
        <v>115</v>
      </c>
      <c r="K1166">
        <v>1</v>
      </c>
      <c r="L1166">
        <v>0</v>
      </c>
      <c r="M1166" t="str">
        <f>IF(tblPenalties[[#This Row],[total_yards]]=0, "Declined", "Accepted")</f>
        <v>Accepted</v>
      </c>
    </row>
    <row r="1167" spans="1:13" x14ac:dyDescent="0.25">
      <c r="A1167" s="1" t="s">
        <v>153</v>
      </c>
      <c r="B1167" s="1" t="s">
        <v>52</v>
      </c>
      <c r="C1167" s="1" t="s">
        <v>114</v>
      </c>
      <c r="D1167">
        <v>3</v>
      </c>
      <c r="E1167">
        <v>17</v>
      </c>
      <c r="F1167">
        <v>5.67</v>
      </c>
      <c r="I1167">
        <v>21</v>
      </c>
      <c r="J1167" s="1" t="s">
        <v>115</v>
      </c>
      <c r="K1167">
        <v>1</v>
      </c>
      <c r="L1167">
        <v>0</v>
      </c>
      <c r="M1167" t="str">
        <f>IF(tblPenalties[[#This Row],[total_yards]]=0, "Declined", "Accepted")</f>
        <v>Accepted</v>
      </c>
    </row>
    <row r="1168" spans="1:13" x14ac:dyDescent="0.25">
      <c r="A1168" s="1" t="s">
        <v>153</v>
      </c>
      <c r="B1168" s="1" t="s">
        <v>52</v>
      </c>
      <c r="C1168" s="1" t="s">
        <v>112</v>
      </c>
      <c r="D1168">
        <v>2</v>
      </c>
      <c r="E1168">
        <v>43</v>
      </c>
      <c r="F1168">
        <v>21.5</v>
      </c>
      <c r="I1168">
        <v>21</v>
      </c>
      <c r="J1168" s="1" t="s">
        <v>113</v>
      </c>
      <c r="K1168">
        <v>1</v>
      </c>
      <c r="L1168">
        <v>0</v>
      </c>
      <c r="M1168" t="str">
        <f>IF(tblPenalties[[#This Row],[total_yards]]=0, "Declined", "Accepted")</f>
        <v>Accepted</v>
      </c>
    </row>
    <row r="1169" spans="1:13" x14ac:dyDescent="0.25">
      <c r="A1169" s="1" t="s">
        <v>153</v>
      </c>
      <c r="B1169" s="1" t="s">
        <v>52</v>
      </c>
      <c r="C1169" s="1" t="s">
        <v>22</v>
      </c>
      <c r="D1169">
        <v>1</v>
      </c>
      <c r="E1169">
        <v>5</v>
      </c>
      <c r="F1169">
        <v>5</v>
      </c>
      <c r="I1169">
        <v>21</v>
      </c>
      <c r="J1169" s="1" t="s">
        <v>15</v>
      </c>
      <c r="K1169">
        <v>1</v>
      </c>
      <c r="L1169">
        <v>0</v>
      </c>
      <c r="M1169" t="str">
        <f>IF(tblPenalties[[#This Row],[total_yards]]=0, "Declined", "Accepted")</f>
        <v>Accepted</v>
      </c>
    </row>
    <row r="1170" spans="1:13" x14ac:dyDescent="0.25">
      <c r="A1170" s="1" t="s">
        <v>153</v>
      </c>
      <c r="B1170" s="1" t="s">
        <v>52</v>
      </c>
      <c r="C1170" s="1" t="s">
        <v>122</v>
      </c>
      <c r="D1170">
        <v>1</v>
      </c>
      <c r="E1170">
        <v>13</v>
      </c>
      <c r="F1170">
        <v>13</v>
      </c>
      <c r="I1170">
        <v>21</v>
      </c>
      <c r="J1170" s="1" t="s">
        <v>113</v>
      </c>
      <c r="K1170">
        <v>1</v>
      </c>
      <c r="L1170">
        <v>0</v>
      </c>
      <c r="M1170" t="str">
        <f>IF(tblPenalties[[#This Row],[total_yards]]=0, "Declined", "Accepted")</f>
        <v>Accepted</v>
      </c>
    </row>
    <row r="1171" spans="1:13" x14ac:dyDescent="0.25">
      <c r="A1171" s="1" t="s">
        <v>153</v>
      </c>
      <c r="B1171" s="1" t="s">
        <v>52</v>
      </c>
      <c r="C1171" s="1" t="s">
        <v>23</v>
      </c>
      <c r="D1171">
        <v>1</v>
      </c>
      <c r="E1171">
        <v>4</v>
      </c>
      <c r="F1171">
        <v>4</v>
      </c>
      <c r="I1171">
        <v>21</v>
      </c>
      <c r="J1171" s="1" t="s">
        <v>15</v>
      </c>
      <c r="K1171">
        <v>1</v>
      </c>
      <c r="L1171">
        <v>0</v>
      </c>
      <c r="M1171" t="str">
        <f>IF(tblPenalties[[#This Row],[total_yards]]=0, "Declined", "Accepted")</f>
        <v>Accepted</v>
      </c>
    </row>
    <row r="1172" spans="1:13" x14ac:dyDescent="0.25">
      <c r="A1172" s="1" t="s">
        <v>154</v>
      </c>
      <c r="B1172" s="1" t="s">
        <v>19</v>
      </c>
      <c r="C1172" s="1" t="s">
        <v>31</v>
      </c>
      <c r="D1172">
        <v>10</v>
      </c>
      <c r="E1172">
        <v>39</v>
      </c>
      <c r="F1172">
        <v>3.9</v>
      </c>
      <c r="H1172">
        <v>24</v>
      </c>
      <c r="J1172" s="1" t="s">
        <v>15</v>
      </c>
      <c r="K1172">
        <v>1</v>
      </c>
      <c r="L1172">
        <v>0</v>
      </c>
      <c r="M1172" t="str">
        <f>IF(tblPenalties[[#This Row],[total_yards]]=0, "Declined", "Accepted")</f>
        <v>Accepted</v>
      </c>
    </row>
    <row r="1173" spans="1:13" x14ac:dyDescent="0.25">
      <c r="A1173" s="1" t="s">
        <v>154</v>
      </c>
      <c r="B1173" s="1" t="s">
        <v>19</v>
      </c>
      <c r="C1173" s="1" t="s">
        <v>129</v>
      </c>
      <c r="D1173">
        <v>9</v>
      </c>
      <c r="E1173">
        <v>40</v>
      </c>
      <c r="F1173">
        <v>4.4400000000000004</v>
      </c>
      <c r="H1173">
        <v>24</v>
      </c>
      <c r="J1173" s="1" t="s">
        <v>130</v>
      </c>
      <c r="K1173">
        <v>1</v>
      </c>
      <c r="L1173">
        <v>0</v>
      </c>
      <c r="M1173" t="str">
        <f>IF(tblPenalties[[#This Row],[total_yards]]=0, "Declined", "Accepted")</f>
        <v>Accepted</v>
      </c>
    </row>
    <row r="1174" spans="1:13" x14ac:dyDescent="0.25">
      <c r="A1174" s="1" t="s">
        <v>154</v>
      </c>
      <c r="B1174" s="1" t="s">
        <v>19</v>
      </c>
      <c r="C1174" s="1" t="s">
        <v>112</v>
      </c>
      <c r="D1174">
        <v>9</v>
      </c>
      <c r="E1174">
        <v>70</v>
      </c>
      <c r="F1174">
        <v>7.78</v>
      </c>
      <c r="H1174">
        <v>24</v>
      </c>
      <c r="J1174" s="1" t="s">
        <v>113</v>
      </c>
      <c r="K1174">
        <v>1</v>
      </c>
      <c r="L1174">
        <v>0</v>
      </c>
      <c r="M1174" t="str">
        <f>IF(tblPenalties[[#This Row],[total_yards]]=0, "Declined", "Accepted")</f>
        <v>Accepted</v>
      </c>
    </row>
    <row r="1175" spans="1:13" x14ac:dyDescent="0.25">
      <c r="A1175" s="1" t="s">
        <v>154</v>
      </c>
      <c r="B1175" s="1" t="s">
        <v>19</v>
      </c>
      <c r="C1175" s="1" t="s">
        <v>14</v>
      </c>
      <c r="D1175">
        <v>7</v>
      </c>
      <c r="E1175">
        <v>35</v>
      </c>
      <c r="F1175">
        <v>5</v>
      </c>
      <c r="H1175">
        <v>24</v>
      </c>
      <c r="J1175" s="1" t="s">
        <v>15</v>
      </c>
      <c r="K1175">
        <v>1</v>
      </c>
      <c r="L1175">
        <v>0</v>
      </c>
      <c r="M1175" t="str">
        <f>IF(tblPenalties[[#This Row],[total_yards]]=0, "Declined", "Accepted")</f>
        <v>Accepted</v>
      </c>
    </row>
    <row r="1176" spans="1:13" x14ac:dyDescent="0.25">
      <c r="A1176" s="1" t="s">
        <v>154</v>
      </c>
      <c r="B1176" s="1" t="s">
        <v>19</v>
      </c>
      <c r="C1176" s="1" t="s">
        <v>117</v>
      </c>
      <c r="D1176">
        <v>5</v>
      </c>
      <c r="E1176">
        <v>81</v>
      </c>
      <c r="F1176">
        <v>16.2</v>
      </c>
      <c r="H1176">
        <v>24</v>
      </c>
      <c r="J1176" s="1" t="s">
        <v>118</v>
      </c>
      <c r="K1176">
        <v>1</v>
      </c>
      <c r="L1176">
        <v>0</v>
      </c>
      <c r="M1176" t="str">
        <f>IF(tblPenalties[[#This Row],[total_yards]]=0, "Declined", "Accepted")</f>
        <v>Accepted</v>
      </c>
    </row>
    <row r="1177" spans="1:13" x14ac:dyDescent="0.25">
      <c r="A1177" s="1" t="s">
        <v>154</v>
      </c>
      <c r="B1177" s="1" t="s">
        <v>19</v>
      </c>
      <c r="C1177" s="1" t="s">
        <v>122</v>
      </c>
      <c r="D1177">
        <v>2</v>
      </c>
      <c r="E1177">
        <v>23</v>
      </c>
      <c r="F1177">
        <v>11.5</v>
      </c>
      <c r="H1177">
        <v>24</v>
      </c>
      <c r="J1177" s="1" t="s">
        <v>113</v>
      </c>
      <c r="K1177">
        <v>1</v>
      </c>
      <c r="L1177">
        <v>0</v>
      </c>
      <c r="M1177" t="str">
        <f>IF(tblPenalties[[#This Row],[total_yards]]=0, "Declined", "Accepted")</f>
        <v>Accepted</v>
      </c>
    </row>
    <row r="1178" spans="1:13" x14ac:dyDescent="0.25">
      <c r="A1178" s="1" t="s">
        <v>154</v>
      </c>
      <c r="B1178" s="1" t="s">
        <v>19</v>
      </c>
      <c r="C1178" s="1" t="s">
        <v>22</v>
      </c>
      <c r="D1178">
        <v>1</v>
      </c>
      <c r="E1178">
        <v>5</v>
      </c>
      <c r="F1178">
        <v>5</v>
      </c>
      <c r="H1178">
        <v>24</v>
      </c>
      <c r="J1178" s="1" t="s">
        <v>15</v>
      </c>
      <c r="K1178">
        <v>1</v>
      </c>
      <c r="L1178">
        <v>0</v>
      </c>
      <c r="M1178" t="str">
        <f>IF(tblPenalties[[#This Row],[total_yards]]=0, "Declined", "Accepted")</f>
        <v>Accepted</v>
      </c>
    </row>
    <row r="1179" spans="1:13" x14ac:dyDescent="0.25">
      <c r="A1179" s="1" t="s">
        <v>154</v>
      </c>
      <c r="B1179" s="1" t="s">
        <v>19</v>
      </c>
      <c r="C1179" s="1" t="s">
        <v>115</v>
      </c>
      <c r="D1179">
        <v>1</v>
      </c>
      <c r="E1179">
        <v>15</v>
      </c>
      <c r="F1179">
        <v>15</v>
      </c>
      <c r="H1179">
        <v>24</v>
      </c>
      <c r="J1179" s="1" t="s">
        <v>115</v>
      </c>
      <c r="K1179">
        <v>1</v>
      </c>
      <c r="L1179">
        <v>0</v>
      </c>
      <c r="M1179" t="str">
        <f>IF(tblPenalties[[#This Row],[total_yards]]=0, "Declined", "Accepted")</f>
        <v>Accepted</v>
      </c>
    </row>
    <row r="1180" spans="1:13" x14ac:dyDescent="0.25">
      <c r="A1180" s="1" t="s">
        <v>155</v>
      </c>
      <c r="B1180" s="1" t="s">
        <v>19</v>
      </c>
      <c r="C1180" s="1" t="s">
        <v>129</v>
      </c>
      <c r="D1180">
        <v>10</v>
      </c>
      <c r="E1180">
        <v>84</v>
      </c>
      <c r="F1180">
        <v>8.4</v>
      </c>
      <c r="G1180">
        <v>4</v>
      </c>
      <c r="H1180">
        <v>4</v>
      </c>
      <c r="I1180">
        <v>4</v>
      </c>
      <c r="J1180" s="1" t="s">
        <v>130</v>
      </c>
      <c r="K1180">
        <v>1</v>
      </c>
      <c r="L1180">
        <v>0</v>
      </c>
      <c r="M1180" t="str">
        <f>IF(tblPenalties[[#This Row],[total_yards]]=0, "Declined", "Accepted")</f>
        <v>Accepted</v>
      </c>
    </row>
    <row r="1181" spans="1:13" x14ac:dyDescent="0.25">
      <c r="A1181" s="1" t="s">
        <v>155</v>
      </c>
      <c r="B1181" s="1" t="s">
        <v>19</v>
      </c>
      <c r="C1181" s="1" t="s">
        <v>14</v>
      </c>
      <c r="D1181">
        <v>9</v>
      </c>
      <c r="E1181">
        <v>20</v>
      </c>
      <c r="F1181">
        <v>2.2200000000000002</v>
      </c>
      <c r="G1181">
        <v>4</v>
      </c>
      <c r="H1181">
        <v>4</v>
      </c>
      <c r="I1181">
        <v>4</v>
      </c>
      <c r="J1181" s="1" t="s">
        <v>15</v>
      </c>
      <c r="K1181">
        <v>1</v>
      </c>
      <c r="L1181">
        <v>0</v>
      </c>
      <c r="M1181" t="str">
        <f>IF(tblPenalties[[#This Row],[total_yards]]=0, "Declined", "Accepted")</f>
        <v>Accepted</v>
      </c>
    </row>
    <row r="1182" spans="1:13" x14ac:dyDescent="0.25">
      <c r="A1182" s="1" t="s">
        <v>155</v>
      </c>
      <c r="B1182" s="1" t="s">
        <v>19</v>
      </c>
      <c r="C1182" s="1" t="s">
        <v>31</v>
      </c>
      <c r="D1182">
        <v>7</v>
      </c>
      <c r="E1182">
        <v>25</v>
      </c>
      <c r="F1182">
        <v>3.57</v>
      </c>
      <c r="G1182">
        <v>4</v>
      </c>
      <c r="H1182">
        <v>4</v>
      </c>
      <c r="I1182">
        <v>4</v>
      </c>
      <c r="J1182" s="1" t="s">
        <v>15</v>
      </c>
      <c r="K1182">
        <v>1</v>
      </c>
      <c r="L1182">
        <v>0</v>
      </c>
      <c r="M1182" t="str">
        <f>IF(tblPenalties[[#This Row],[total_yards]]=0, "Declined", "Accepted")</f>
        <v>Accepted</v>
      </c>
    </row>
    <row r="1183" spans="1:13" x14ac:dyDescent="0.25">
      <c r="A1183" s="1" t="s">
        <v>155</v>
      </c>
      <c r="B1183" s="1" t="s">
        <v>19</v>
      </c>
      <c r="C1183" s="1" t="s">
        <v>115</v>
      </c>
      <c r="D1183">
        <v>7</v>
      </c>
      <c r="E1183">
        <v>102</v>
      </c>
      <c r="F1183">
        <v>14.57</v>
      </c>
      <c r="G1183">
        <v>4</v>
      </c>
      <c r="H1183">
        <v>4</v>
      </c>
      <c r="I1183">
        <v>4</v>
      </c>
      <c r="J1183" s="1" t="s">
        <v>115</v>
      </c>
      <c r="K1183">
        <v>1</v>
      </c>
      <c r="L1183">
        <v>0</v>
      </c>
      <c r="M1183" t="str">
        <f>IF(tblPenalties[[#This Row],[total_yards]]=0, "Declined", "Accepted")</f>
        <v>Accepted</v>
      </c>
    </row>
    <row r="1184" spans="1:13" x14ac:dyDescent="0.25">
      <c r="A1184" s="1" t="s">
        <v>155</v>
      </c>
      <c r="B1184" s="1" t="s">
        <v>19</v>
      </c>
      <c r="C1184" s="1" t="s">
        <v>117</v>
      </c>
      <c r="D1184">
        <v>5</v>
      </c>
      <c r="E1184">
        <v>102</v>
      </c>
      <c r="F1184">
        <v>20.399999999999999</v>
      </c>
      <c r="G1184">
        <v>4</v>
      </c>
      <c r="H1184">
        <v>4</v>
      </c>
      <c r="I1184">
        <v>4</v>
      </c>
      <c r="J1184" s="1" t="s">
        <v>118</v>
      </c>
      <c r="K1184">
        <v>1</v>
      </c>
      <c r="L1184">
        <v>0</v>
      </c>
      <c r="M1184" t="str">
        <f>IF(tblPenalties[[#This Row],[total_yards]]=0, "Declined", "Accepted")</f>
        <v>Accepted</v>
      </c>
    </row>
    <row r="1185" spans="1:13" x14ac:dyDescent="0.25">
      <c r="A1185" s="1" t="s">
        <v>155</v>
      </c>
      <c r="B1185" s="1" t="s">
        <v>19</v>
      </c>
      <c r="C1185" s="1" t="s">
        <v>22</v>
      </c>
      <c r="D1185">
        <v>3</v>
      </c>
      <c r="E1185">
        <v>15</v>
      </c>
      <c r="F1185">
        <v>5</v>
      </c>
      <c r="G1185">
        <v>4</v>
      </c>
      <c r="H1185">
        <v>4</v>
      </c>
      <c r="I1185">
        <v>4</v>
      </c>
      <c r="J1185" s="1" t="s">
        <v>15</v>
      </c>
      <c r="K1185">
        <v>1</v>
      </c>
      <c r="L1185">
        <v>0</v>
      </c>
      <c r="M1185" t="str">
        <f>IF(tblPenalties[[#This Row],[total_yards]]=0, "Declined", "Accepted")</f>
        <v>Accepted</v>
      </c>
    </row>
    <row r="1186" spans="1:13" x14ac:dyDescent="0.25">
      <c r="A1186" s="1" t="s">
        <v>155</v>
      </c>
      <c r="B1186" s="1" t="s">
        <v>19</v>
      </c>
      <c r="C1186" s="1" t="s">
        <v>112</v>
      </c>
      <c r="D1186">
        <v>3</v>
      </c>
      <c r="E1186">
        <v>10</v>
      </c>
      <c r="F1186">
        <v>3.33</v>
      </c>
      <c r="G1186">
        <v>4</v>
      </c>
      <c r="H1186">
        <v>4</v>
      </c>
      <c r="I1186">
        <v>4</v>
      </c>
      <c r="J1186" s="1" t="s">
        <v>113</v>
      </c>
      <c r="K1186">
        <v>1</v>
      </c>
      <c r="L1186">
        <v>0</v>
      </c>
      <c r="M1186" t="str">
        <f>IF(tblPenalties[[#This Row],[total_yards]]=0, "Declined", "Accepted")</f>
        <v>Accepted</v>
      </c>
    </row>
    <row r="1187" spans="1:13" x14ac:dyDescent="0.25">
      <c r="A1187" s="1" t="s">
        <v>155</v>
      </c>
      <c r="B1187" s="1" t="s">
        <v>19</v>
      </c>
      <c r="C1187" s="1" t="s">
        <v>114</v>
      </c>
      <c r="D1187">
        <v>2</v>
      </c>
      <c r="E1187">
        <v>5</v>
      </c>
      <c r="F1187">
        <v>2.5</v>
      </c>
      <c r="G1187">
        <v>4</v>
      </c>
      <c r="H1187">
        <v>4</v>
      </c>
      <c r="I1187">
        <v>4</v>
      </c>
      <c r="J1187" s="1" t="s">
        <v>115</v>
      </c>
      <c r="K1187">
        <v>1</v>
      </c>
      <c r="L1187">
        <v>0</v>
      </c>
      <c r="M1187" t="str">
        <f>IF(tblPenalties[[#This Row],[total_yards]]=0, "Declined", "Accepted")</f>
        <v>Accepted</v>
      </c>
    </row>
    <row r="1188" spans="1:13" x14ac:dyDescent="0.25">
      <c r="A1188" s="1" t="s">
        <v>155</v>
      </c>
      <c r="B1188" s="1" t="s">
        <v>19</v>
      </c>
      <c r="C1188" s="1" t="s">
        <v>23</v>
      </c>
      <c r="D1188">
        <v>1</v>
      </c>
      <c r="E1188">
        <v>28</v>
      </c>
      <c r="F1188">
        <v>28</v>
      </c>
      <c r="G1188">
        <v>4</v>
      </c>
      <c r="H1188">
        <v>4</v>
      </c>
      <c r="I1188">
        <v>4</v>
      </c>
      <c r="J1188" s="1" t="s">
        <v>15</v>
      </c>
      <c r="K1188">
        <v>1</v>
      </c>
      <c r="L1188">
        <v>0</v>
      </c>
      <c r="M1188" t="str">
        <f>IF(tblPenalties[[#This Row],[total_yards]]=0, "Declined", "Accepted")</f>
        <v>Accepted</v>
      </c>
    </row>
    <row r="1189" spans="1:13" x14ac:dyDescent="0.25">
      <c r="A1189" s="1" t="s">
        <v>155</v>
      </c>
      <c r="B1189" s="1" t="s">
        <v>19</v>
      </c>
      <c r="C1189" s="1" t="s">
        <v>49</v>
      </c>
      <c r="D1189">
        <v>1</v>
      </c>
      <c r="E1189">
        <v>5</v>
      </c>
      <c r="F1189">
        <v>5</v>
      </c>
      <c r="G1189">
        <v>4</v>
      </c>
      <c r="H1189">
        <v>4</v>
      </c>
      <c r="I1189">
        <v>4</v>
      </c>
      <c r="J1189" s="1" t="s">
        <v>15</v>
      </c>
      <c r="K1189">
        <v>1</v>
      </c>
      <c r="L1189">
        <v>0</v>
      </c>
      <c r="M1189" t="str">
        <f>IF(tblPenalties[[#This Row],[total_yards]]=0, "Declined", "Accepted")</f>
        <v>Accepted</v>
      </c>
    </row>
    <row r="1190" spans="1:13" x14ac:dyDescent="0.25">
      <c r="A1190" s="1" t="s">
        <v>155</v>
      </c>
      <c r="B1190" s="1" t="s">
        <v>19</v>
      </c>
      <c r="C1190" s="1" t="s">
        <v>125</v>
      </c>
      <c r="D1190">
        <v>1</v>
      </c>
      <c r="E1190">
        <v>0</v>
      </c>
      <c r="F1190">
        <v>0</v>
      </c>
      <c r="G1190">
        <v>4</v>
      </c>
      <c r="H1190">
        <v>4</v>
      </c>
      <c r="I1190">
        <v>4</v>
      </c>
      <c r="J1190" s="1" t="s">
        <v>115</v>
      </c>
      <c r="K1190">
        <v>0</v>
      </c>
      <c r="L1190">
        <v>1</v>
      </c>
      <c r="M1190" t="str">
        <f>IF(tblPenalties[[#This Row],[total_yards]]=0, "Declined", "Accepted")</f>
        <v>Declined</v>
      </c>
    </row>
    <row r="1191" spans="1:13" x14ac:dyDescent="0.25">
      <c r="A1191" s="1" t="s">
        <v>155</v>
      </c>
      <c r="B1191" s="1" t="s">
        <v>19</v>
      </c>
      <c r="C1191" s="1" t="s">
        <v>120</v>
      </c>
      <c r="D1191">
        <v>1</v>
      </c>
      <c r="E1191">
        <v>15</v>
      </c>
      <c r="F1191">
        <v>15</v>
      </c>
      <c r="G1191">
        <v>4</v>
      </c>
      <c r="H1191">
        <v>4</v>
      </c>
      <c r="I1191">
        <v>4</v>
      </c>
      <c r="J1191" s="1" t="s">
        <v>115</v>
      </c>
      <c r="K1191">
        <v>1</v>
      </c>
      <c r="L1191">
        <v>0</v>
      </c>
      <c r="M1191" t="str">
        <f>IF(tblPenalties[[#This Row],[total_yards]]=0, "Declined", "Accepted")</f>
        <v>Accepted</v>
      </c>
    </row>
    <row r="1192" spans="1:13" x14ac:dyDescent="0.25">
      <c r="A1192" s="1" t="s">
        <v>156</v>
      </c>
      <c r="B1192" s="1" t="s">
        <v>17</v>
      </c>
      <c r="C1192" s="1" t="s">
        <v>129</v>
      </c>
      <c r="D1192">
        <v>17</v>
      </c>
      <c r="E1192">
        <v>127</v>
      </c>
      <c r="F1192">
        <v>7.47</v>
      </c>
      <c r="G1192">
        <v>12</v>
      </c>
      <c r="H1192">
        <v>12</v>
      </c>
      <c r="I1192">
        <v>12</v>
      </c>
      <c r="J1192" s="1" t="s">
        <v>130</v>
      </c>
      <c r="K1192">
        <v>1</v>
      </c>
      <c r="L1192">
        <v>0</v>
      </c>
      <c r="M1192" t="str">
        <f>IF(tblPenalties[[#This Row],[total_yards]]=0, "Declined", "Accepted")</f>
        <v>Accepted</v>
      </c>
    </row>
    <row r="1193" spans="1:13" x14ac:dyDescent="0.25">
      <c r="A1193" s="1" t="s">
        <v>156</v>
      </c>
      <c r="B1193" s="1" t="s">
        <v>17</v>
      </c>
      <c r="C1193" s="1" t="s">
        <v>14</v>
      </c>
      <c r="D1193">
        <v>14</v>
      </c>
      <c r="E1193">
        <v>62</v>
      </c>
      <c r="F1193">
        <v>4.43</v>
      </c>
      <c r="G1193">
        <v>12</v>
      </c>
      <c r="H1193">
        <v>12</v>
      </c>
      <c r="I1193">
        <v>12</v>
      </c>
      <c r="J1193" s="1" t="s">
        <v>15</v>
      </c>
      <c r="K1193">
        <v>1</v>
      </c>
      <c r="L1193">
        <v>0</v>
      </c>
      <c r="M1193" t="str">
        <f>IF(tblPenalties[[#This Row],[total_yards]]=0, "Declined", "Accepted")</f>
        <v>Accepted</v>
      </c>
    </row>
    <row r="1194" spans="1:13" x14ac:dyDescent="0.25">
      <c r="A1194" s="1" t="s">
        <v>156</v>
      </c>
      <c r="B1194" s="1" t="s">
        <v>17</v>
      </c>
      <c r="C1194" s="1" t="s">
        <v>117</v>
      </c>
      <c r="D1194">
        <v>8</v>
      </c>
      <c r="E1194">
        <v>89</v>
      </c>
      <c r="F1194">
        <v>11.12</v>
      </c>
      <c r="G1194">
        <v>12</v>
      </c>
      <c r="H1194">
        <v>12</v>
      </c>
      <c r="I1194">
        <v>12</v>
      </c>
      <c r="J1194" s="1" t="s">
        <v>118</v>
      </c>
      <c r="K1194">
        <v>1</v>
      </c>
      <c r="L1194">
        <v>0</v>
      </c>
      <c r="M1194" t="str">
        <f>IF(tblPenalties[[#This Row],[total_yards]]=0, "Declined", "Accepted")</f>
        <v>Accepted</v>
      </c>
    </row>
    <row r="1195" spans="1:13" x14ac:dyDescent="0.25">
      <c r="A1195" s="1" t="s">
        <v>156</v>
      </c>
      <c r="B1195" s="1" t="s">
        <v>17</v>
      </c>
      <c r="C1195" s="1" t="s">
        <v>22</v>
      </c>
      <c r="D1195">
        <v>4</v>
      </c>
      <c r="E1195">
        <v>20</v>
      </c>
      <c r="F1195">
        <v>5</v>
      </c>
      <c r="G1195">
        <v>12</v>
      </c>
      <c r="H1195">
        <v>12</v>
      </c>
      <c r="I1195">
        <v>12</v>
      </c>
      <c r="J1195" s="1" t="s">
        <v>15</v>
      </c>
      <c r="K1195">
        <v>1</v>
      </c>
      <c r="L1195">
        <v>0</v>
      </c>
      <c r="M1195" t="str">
        <f>IF(tblPenalties[[#This Row],[total_yards]]=0, "Declined", "Accepted")</f>
        <v>Accepted</v>
      </c>
    </row>
    <row r="1196" spans="1:13" x14ac:dyDescent="0.25">
      <c r="A1196" s="1" t="s">
        <v>156</v>
      </c>
      <c r="B1196" s="1" t="s">
        <v>17</v>
      </c>
      <c r="C1196" s="1" t="s">
        <v>115</v>
      </c>
      <c r="D1196">
        <v>4</v>
      </c>
      <c r="E1196">
        <v>7</v>
      </c>
      <c r="F1196">
        <v>1.75</v>
      </c>
      <c r="G1196">
        <v>12</v>
      </c>
      <c r="H1196">
        <v>12</v>
      </c>
      <c r="I1196">
        <v>12</v>
      </c>
      <c r="J1196" s="1" t="s">
        <v>115</v>
      </c>
      <c r="K1196">
        <v>1</v>
      </c>
      <c r="L1196">
        <v>0</v>
      </c>
      <c r="M1196" t="str">
        <f>IF(tblPenalties[[#This Row],[total_yards]]=0, "Declined", "Accepted")</f>
        <v>Accepted</v>
      </c>
    </row>
    <row r="1197" spans="1:13" x14ac:dyDescent="0.25">
      <c r="A1197" s="1" t="s">
        <v>156</v>
      </c>
      <c r="B1197" s="1" t="s">
        <v>17</v>
      </c>
      <c r="C1197" s="1" t="s">
        <v>112</v>
      </c>
      <c r="D1197">
        <v>3</v>
      </c>
      <c r="E1197">
        <v>11</v>
      </c>
      <c r="F1197">
        <v>3.67</v>
      </c>
      <c r="G1197">
        <v>12</v>
      </c>
      <c r="H1197">
        <v>12</v>
      </c>
      <c r="I1197">
        <v>12</v>
      </c>
      <c r="J1197" s="1" t="s">
        <v>113</v>
      </c>
      <c r="K1197">
        <v>1</v>
      </c>
      <c r="L1197">
        <v>0</v>
      </c>
      <c r="M1197" t="str">
        <f>IF(tblPenalties[[#This Row],[total_yards]]=0, "Declined", "Accepted")</f>
        <v>Accepted</v>
      </c>
    </row>
    <row r="1198" spans="1:13" x14ac:dyDescent="0.25">
      <c r="A1198" s="1" t="s">
        <v>156</v>
      </c>
      <c r="B1198" s="1" t="s">
        <v>17</v>
      </c>
      <c r="C1198" s="1" t="s">
        <v>122</v>
      </c>
      <c r="D1198">
        <v>2</v>
      </c>
      <c r="E1198">
        <v>10</v>
      </c>
      <c r="F1198">
        <v>5</v>
      </c>
      <c r="G1198">
        <v>12</v>
      </c>
      <c r="H1198">
        <v>12</v>
      </c>
      <c r="I1198">
        <v>12</v>
      </c>
      <c r="J1198" s="1" t="s">
        <v>113</v>
      </c>
      <c r="K1198">
        <v>1</v>
      </c>
      <c r="L1198">
        <v>0</v>
      </c>
      <c r="M1198" t="str">
        <f>IF(tblPenalties[[#This Row],[total_yards]]=0, "Declined", "Accepted")</f>
        <v>Accepted</v>
      </c>
    </row>
    <row r="1199" spans="1:13" x14ac:dyDescent="0.25">
      <c r="A1199" s="1" t="s">
        <v>156</v>
      </c>
      <c r="B1199" s="1" t="s">
        <v>17</v>
      </c>
      <c r="C1199" s="1" t="s">
        <v>31</v>
      </c>
      <c r="D1199">
        <v>2</v>
      </c>
      <c r="E1199">
        <v>5</v>
      </c>
      <c r="F1199">
        <v>2.5</v>
      </c>
      <c r="G1199">
        <v>12</v>
      </c>
      <c r="H1199">
        <v>12</v>
      </c>
      <c r="I1199">
        <v>12</v>
      </c>
      <c r="J1199" s="1" t="s">
        <v>15</v>
      </c>
      <c r="K1199">
        <v>1</v>
      </c>
      <c r="L1199">
        <v>0</v>
      </c>
      <c r="M1199" t="str">
        <f>IF(tblPenalties[[#This Row],[total_yards]]=0, "Declined", "Accepted")</f>
        <v>Accepted</v>
      </c>
    </row>
    <row r="1200" spans="1:13" x14ac:dyDescent="0.25">
      <c r="A1200" s="1" t="s">
        <v>156</v>
      </c>
      <c r="B1200" s="1" t="s">
        <v>17</v>
      </c>
      <c r="C1200" s="1" t="s">
        <v>23</v>
      </c>
      <c r="D1200">
        <v>1</v>
      </c>
      <c r="E1200">
        <v>42</v>
      </c>
      <c r="F1200">
        <v>42</v>
      </c>
      <c r="G1200">
        <v>12</v>
      </c>
      <c r="H1200">
        <v>12</v>
      </c>
      <c r="I1200">
        <v>12</v>
      </c>
      <c r="J1200" s="1" t="s">
        <v>15</v>
      </c>
      <c r="K1200">
        <v>1</v>
      </c>
      <c r="L1200">
        <v>0</v>
      </c>
      <c r="M1200" t="str">
        <f>IF(tblPenalties[[#This Row],[total_yards]]=0, "Declined", "Accepted")</f>
        <v>Accepted</v>
      </c>
    </row>
    <row r="1201" spans="1:13" x14ac:dyDescent="0.25">
      <c r="A1201" s="1" t="s">
        <v>156</v>
      </c>
      <c r="B1201" s="1" t="s">
        <v>17</v>
      </c>
      <c r="C1201" s="1" t="s">
        <v>120</v>
      </c>
      <c r="D1201">
        <v>1</v>
      </c>
      <c r="E1201">
        <v>0</v>
      </c>
      <c r="F1201">
        <v>0</v>
      </c>
      <c r="G1201">
        <v>12</v>
      </c>
      <c r="H1201">
        <v>12</v>
      </c>
      <c r="I1201">
        <v>12</v>
      </c>
      <c r="J1201" s="1" t="s">
        <v>115</v>
      </c>
      <c r="K1201">
        <v>0</v>
      </c>
      <c r="L1201">
        <v>1</v>
      </c>
      <c r="M1201" t="str">
        <f>IF(tblPenalties[[#This Row],[total_yards]]=0, "Declined", "Accepted")</f>
        <v>Declined</v>
      </c>
    </row>
    <row r="1202" spans="1:13" x14ac:dyDescent="0.25">
      <c r="A1202" s="1" t="s">
        <v>157</v>
      </c>
      <c r="B1202" s="1" t="s">
        <v>17</v>
      </c>
      <c r="C1202" s="1" t="s">
        <v>129</v>
      </c>
      <c r="D1202">
        <v>17</v>
      </c>
      <c r="E1202">
        <v>139</v>
      </c>
      <c r="F1202">
        <v>8.18</v>
      </c>
      <c r="G1202">
        <v>22</v>
      </c>
      <c r="H1202">
        <v>22</v>
      </c>
      <c r="I1202">
        <v>25</v>
      </c>
      <c r="J1202" s="1" t="s">
        <v>130</v>
      </c>
      <c r="K1202">
        <v>1</v>
      </c>
      <c r="L1202">
        <v>0</v>
      </c>
      <c r="M1202" t="str">
        <f>IF(tblPenalties[[#This Row],[total_yards]]=0, "Declined", "Accepted")</f>
        <v>Accepted</v>
      </c>
    </row>
    <row r="1203" spans="1:13" x14ac:dyDescent="0.25">
      <c r="A1203" s="1" t="s">
        <v>157</v>
      </c>
      <c r="B1203" s="1" t="s">
        <v>17</v>
      </c>
      <c r="C1203" s="1" t="s">
        <v>14</v>
      </c>
      <c r="D1203">
        <v>10</v>
      </c>
      <c r="E1203">
        <v>50</v>
      </c>
      <c r="F1203">
        <v>5</v>
      </c>
      <c r="G1203">
        <v>22</v>
      </c>
      <c r="H1203">
        <v>22</v>
      </c>
      <c r="I1203">
        <v>25</v>
      </c>
      <c r="J1203" s="1" t="s">
        <v>15</v>
      </c>
      <c r="K1203">
        <v>1</v>
      </c>
      <c r="L1203">
        <v>0</v>
      </c>
      <c r="M1203" t="str">
        <f>IF(tblPenalties[[#This Row],[total_yards]]=0, "Declined", "Accepted")</f>
        <v>Accepted</v>
      </c>
    </row>
    <row r="1204" spans="1:13" x14ac:dyDescent="0.25">
      <c r="A1204" s="1" t="s">
        <v>157</v>
      </c>
      <c r="B1204" s="1" t="s">
        <v>17</v>
      </c>
      <c r="C1204" s="1" t="s">
        <v>112</v>
      </c>
      <c r="D1204">
        <v>5</v>
      </c>
      <c r="E1204">
        <v>120</v>
      </c>
      <c r="F1204">
        <v>24</v>
      </c>
      <c r="G1204">
        <v>22</v>
      </c>
      <c r="H1204">
        <v>22</v>
      </c>
      <c r="I1204">
        <v>25</v>
      </c>
      <c r="J1204" s="1" t="s">
        <v>113</v>
      </c>
      <c r="K1204">
        <v>1</v>
      </c>
      <c r="L1204">
        <v>0</v>
      </c>
      <c r="M1204" t="str">
        <f>IF(tblPenalties[[#This Row],[total_yards]]=0, "Declined", "Accepted")</f>
        <v>Accepted</v>
      </c>
    </row>
    <row r="1205" spans="1:13" x14ac:dyDescent="0.25">
      <c r="A1205" s="1" t="s">
        <v>157</v>
      </c>
      <c r="B1205" s="1" t="s">
        <v>17</v>
      </c>
      <c r="C1205" s="1" t="s">
        <v>117</v>
      </c>
      <c r="D1205">
        <v>5</v>
      </c>
      <c r="E1205">
        <v>58</v>
      </c>
      <c r="F1205">
        <v>11.6</v>
      </c>
      <c r="G1205">
        <v>22</v>
      </c>
      <c r="H1205">
        <v>22</v>
      </c>
      <c r="I1205">
        <v>25</v>
      </c>
      <c r="J1205" s="1" t="s">
        <v>118</v>
      </c>
      <c r="K1205">
        <v>1</v>
      </c>
      <c r="L1205">
        <v>0</v>
      </c>
      <c r="M1205" t="str">
        <f>IF(tblPenalties[[#This Row],[total_yards]]=0, "Declined", "Accepted")</f>
        <v>Accepted</v>
      </c>
    </row>
    <row r="1206" spans="1:13" x14ac:dyDescent="0.25">
      <c r="A1206" s="1" t="s">
        <v>157</v>
      </c>
      <c r="B1206" s="1" t="s">
        <v>17</v>
      </c>
      <c r="C1206" s="1" t="s">
        <v>115</v>
      </c>
      <c r="D1206">
        <v>4</v>
      </c>
      <c r="E1206">
        <v>90</v>
      </c>
      <c r="F1206">
        <v>22.5</v>
      </c>
      <c r="G1206">
        <v>22</v>
      </c>
      <c r="H1206">
        <v>22</v>
      </c>
      <c r="I1206">
        <v>25</v>
      </c>
      <c r="J1206" s="1" t="s">
        <v>115</v>
      </c>
      <c r="K1206">
        <v>1</v>
      </c>
      <c r="L1206">
        <v>0</v>
      </c>
      <c r="M1206" t="str">
        <f>IF(tblPenalties[[#This Row],[total_yards]]=0, "Declined", "Accepted")</f>
        <v>Accepted</v>
      </c>
    </row>
    <row r="1207" spans="1:13" x14ac:dyDescent="0.25">
      <c r="A1207" s="1" t="s">
        <v>157</v>
      </c>
      <c r="B1207" s="1" t="s">
        <v>17</v>
      </c>
      <c r="C1207" s="1" t="s">
        <v>22</v>
      </c>
      <c r="D1207">
        <v>3</v>
      </c>
      <c r="E1207">
        <v>15</v>
      </c>
      <c r="F1207">
        <v>5</v>
      </c>
      <c r="G1207">
        <v>22</v>
      </c>
      <c r="H1207">
        <v>22</v>
      </c>
      <c r="I1207">
        <v>25</v>
      </c>
      <c r="J1207" s="1" t="s">
        <v>15</v>
      </c>
      <c r="K1207">
        <v>1</v>
      </c>
      <c r="L1207">
        <v>0</v>
      </c>
      <c r="M1207" t="str">
        <f>IF(tblPenalties[[#This Row],[total_yards]]=0, "Declined", "Accepted")</f>
        <v>Accepted</v>
      </c>
    </row>
    <row r="1208" spans="1:13" x14ac:dyDescent="0.25">
      <c r="A1208" s="1" t="s">
        <v>157</v>
      </c>
      <c r="B1208" s="1" t="s">
        <v>17</v>
      </c>
      <c r="C1208" s="1" t="s">
        <v>31</v>
      </c>
      <c r="D1208">
        <v>3</v>
      </c>
      <c r="E1208">
        <v>9</v>
      </c>
      <c r="F1208">
        <v>3</v>
      </c>
      <c r="G1208">
        <v>22</v>
      </c>
      <c r="H1208">
        <v>22</v>
      </c>
      <c r="I1208">
        <v>25</v>
      </c>
      <c r="J1208" s="1" t="s">
        <v>15</v>
      </c>
      <c r="K1208">
        <v>1</v>
      </c>
      <c r="L1208">
        <v>0</v>
      </c>
      <c r="M1208" t="str">
        <f>IF(tblPenalties[[#This Row],[total_yards]]=0, "Declined", "Accepted")</f>
        <v>Accepted</v>
      </c>
    </row>
    <row r="1209" spans="1:13" x14ac:dyDescent="0.25">
      <c r="A1209" s="1" t="s">
        <v>157</v>
      </c>
      <c r="B1209" s="1" t="s">
        <v>17</v>
      </c>
      <c r="C1209" s="1" t="s">
        <v>122</v>
      </c>
      <c r="D1209">
        <v>1</v>
      </c>
      <c r="E1209">
        <v>15</v>
      </c>
      <c r="F1209">
        <v>15</v>
      </c>
      <c r="G1209">
        <v>22</v>
      </c>
      <c r="H1209">
        <v>22</v>
      </c>
      <c r="I1209">
        <v>25</v>
      </c>
      <c r="J1209" s="1" t="s">
        <v>113</v>
      </c>
      <c r="K1209">
        <v>1</v>
      </c>
      <c r="L1209">
        <v>0</v>
      </c>
      <c r="M1209" t="str">
        <f>IF(tblPenalties[[#This Row],[total_yards]]=0, "Declined", "Accepted")</f>
        <v>Accepted</v>
      </c>
    </row>
    <row r="1210" spans="1:13" x14ac:dyDescent="0.25">
      <c r="A1210" s="1" t="s">
        <v>157</v>
      </c>
      <c r="B1210" s="1" t="s">
        <v>17</v>
      </c>
      <c r="C1210" s="1" t="s">
        <v>125</v>
      </c>
      <c r="D1210">
        <v>1</v>
      </c>
      <c r="E1210">
        <v>0</v>
      </c>
      <c r="F1210">
        <v>0</v>
      </c>
      <c r="G1210">
        <v>22</v>
      </c>
      <c r="H1210">
        <v>22</v>
      </c>
      <c r="I1210">
        <v>25</v>
      </c>
      <c r="J1210" s="1" t="s">
        <v>115</v>
      </c>
      <c r="K1210">
        <v>0</v>
      </c>
      <c r="L1210">
        <v>1</v>
      </c>
      <c r="M1210" t="str">
        <f>IF(tblPenalties[[#This Row],[total_yards]]=0, "Declined", "Accepted")</f>
        <v>Declined</v>
      </c>
    </row>
    <row r="1211" spans="1:13" x14ac:dyDescent="0.25">
      <c r="A1211" s="1" t="s">
        <v>157</v>
      </c>
      <c r="B1211" s="1" t="s">
        <v>17</v>
      </c>
      <c r="C1211" s="1" t="s">
        <v>120</v>
      </c>
      <c r="D1211">
        <v>1</v>
      </c>
      <c r="E1211">
        <v>7</v>
      </c>
      <c r="F1211">
        <v>7</v>
      </c>
      <c r="G1211">
        <v>22</v>
      </c>
      <c r="H1211">
        <v>22</v>
      </c>
      <c r="I1211">
        <v>25</v>
      </c>
      <c r="J1211" s="1" t="s">
        <v>115</v>
      </c>
      <c r="K1211">
        <v>1</v>
      </c>
      <c r="L1211">
        <v>0</v>
      </c>
      <c r="M1211" t="str">
        <f>IF(tblPenalties[[#This Row],[total_yards]]=0, "Declined", "Accepted")</f>
        <v>Accepted</v>
      </c>
    </row>
    <row r="1212" spans="1:13" x14ac:dyDescent="0.25">
      <c r="A1212" s="1" t="s">
        <v>158</v>
      </c>
      <c r="B1212" s="1" t="s">
        <v>19</v>
      </c>
      <c r="C1212" s="1" t="s">
        <v>129</v>
      </c>
      <c r="D1212">
        <v>14</v>
      </c>
      <c r="E1212">
        <v>96</v>
      </c>
      <c r="F1212">
        <v>6.86</v>
      </c>
      <c r="G1212">
        <v>5</v>
      </c>
      <c r="H1212">
        <v>5</v>
      </c>
      <c r="I1212">
        <v>5</v>
      </c>
      <c r="J1212" s="1" t="s">
        <v>130</v>
      </c>
      <c r="K1212">
        <v>1</v>
      </c>
      <c r="L1212">
        <v>0</v>
      </c>
      <c r="M1212" t="str">
        <f>IF(tblPenalties[[#This Row],[total_yards]]=0, "Declined", "Accepted")</f>
        <v>Accepted</v>
      </c>
    </row>
    <row r="1213" spans="1:13" x14ac:dyDescent="0.25">
      <c r="A1213" s="1" t="s">
        <v>158</v>
      </c>
      <c r="B1213" s="1" t="s">
        <v>19</v>
      </c>
      <c r="C1213" s="1" t="s">
        <v>117</v>
      </c>
      <c r="D1213">
        <v>8</v>
      </c>
      <c r="E1213">
        <v>72</v>
      </c>
      <c r="F1213">
        <v>9</v>
      </c>
      <c r="G1213">
        <v>5</v>
      </c>
      <c r="H1213">
        <v>5</v>
      </c>
      <c r="I1213">
        <v>5</v>
      </c>
      <c r="J1213" s="1" t="s">
        <v>118</v>
      </c>
      <c r="K1213">
        <v>1</v>
      </c>
      <c r="L1213">
        <v>0</v>
      </c>
      <c r="M1213" t="str">
        <f>IF(tblPenalties[[#This Row],[total_yards]]=0, "Declined", "Accepted")</f>
        <v>Accepted</v>
      </c>
    </row>
    <row r="1214" spans="1:13" x14ac:dyDescent="0.25">
      <c r="A1214" s="1" t="s">
        <v>158</v>
      </c>
      <c r="B1214" s="1" t="s">
        <v>19</v>
      </c>
      <c r="C1214" s="1" t="s">
        <v>112</v>
      </c>
      <c r="D1214">
        <v>6</v>
      </c>
      <c r="E1214">
        <v>34</v>
      </c>
      <c r="F1214">
        <v>5.67</v>
      </c>
      <c r="G1214">
        <v>5</v>
      </c>
      <c r="H1214">
        <v>5</v>
      </c>
      <c r="I1214">
        <v>5</v>
      </c>
      <c r="J1214" s="1" t="s">
        <v>113</v>
      </c>
      <c r="K1214">
        <v>1</v>
      </c>
      <c r="L1214">
        <v>0</v>
      </c>
      <c r="M1214" t="str">
        <f>IF(tblPenalties[[#This Row],[total_yards]]=0, "Declined", "Accepted")</f>
        <v>Accepted</v>
      </c>
    </row>
    <row r="1215" spans="1:13" x14ac:dyDescent="0.25">
      <c r="A1215" s="1" t="s">
        <v>158</v>
      </c>
      <c r="B1215" s="1" t="s">
        <v>19</v>
      </c>
      <c r="C1215" s="1" t="s">
        <v>14</v>
      </c>
      <c r="D1215">
        <v>5</v>
      </c>
      <c r="E1215">
        <v>25</v>
      </c>
      <c r="F1215">
        <v>5</v>
      </c>
      <c r="G1215">
        <v>5</v>
      </c>
      <c r="H1215">
        <v>5</v>
      </c>
      <c r="I1215">
        <v>5</v>
      </c>
      <c r="J1215" s="1" t="s">
        <v>15</v>
      </c>
      <c r="K1215">
        <v>1</v>
      </c>
      <c r="L1215">
        <v>0</v>
      </c>
      <c r="M1215" t="str">
        <f>IF(tblPenalties[[#This Row],[total_yards]]=0, "Declined", "Accepted")</f>
        <v>Accepted</v>
      </c>
    </row>
    <row r="1216" spans="1:13" x14ac:dyDescent="0.25">
      <c r="A1216" s="1" t="s">
        <v>158</v>
      </c>
      <c r="B1216" s="1" t="s">
        <v>19</v>
      </c>
      <c r="C1216" s="1" t="s">
        <v>31</v>
      </c>
      <c r="D1216">
        <v>5</v>
      </c>
      <c r="E1216">
        <v>22</v>
      </c>
      <c r="F1216">
        <v>4.4000000000000004</v>
      </c>
      <c r="G1216">
        <v>5</v>
      </c>
      <c r="H1216">
        <v>5</v>
      </c>
      <c r="I1216">
        <v>5</v>
      </c>
      <c r="J1216" s="1" t="s">
        <v>15</v>
      </c>
      <c r="K1216">
        <v>1</v>
      </c>
      <c r="L1216">
        <v>0</v>
      </c>
      <c r="M1216" t="str">
        <f>IF(tblPenalties[[#This Row],[total_yards]]=0, "Declined", "Accepted")</f>
        <v>Accepted</v>
      </c>
    </row>
    <row r="1217" spans="1:13" x14ac:dyDescent="0.25">
      <c r="A1217" s="1" t="s">
        <v>158</v>
      </c>
      <c r="B1217" s="1" t="s">
        <v>19</v>
      </c>
      <c r="C1217" s="1" t="s">
        <v>115</v>
      </c>
      <c r="D1217">
        <v>5</v>
      </c>
      <c r="E1217">
        <v>5</v>
      </c>
      <c r="F1217">
        <v>1</v>
      </c>
      <c r="G1217">
        <v>5</v>
      </c>
      <c r="H1217">
        <v>5</v>
      </c>
      <c r="I1217">
        <v>5</v>
      </c>
      <c r="J1217" s="1" t="s">
        <v>115</v>
      </c>
      <c r="K1217">
        <v>1</v>
      </c>
      <c r="L1217">
        <v>0</v>
      </c>
      <c r="M1217" t="str">
        <f>IF(tblPenalties[[#This Row],[total_yards]]=0, "Declined", "Accepted")</f>
        <v>Accepted</v>
      </c>
    </row>
    <row r="1218" spans="1:13" x14ac:dyDescent="0.25">
      <c r="A1218" s="1" t="s">
        <v>158</v>
      </c>
      <c r="B1218" s="1" t="s">
        <v>19</v>
      </c>
      <c r="C1218" s="1" t="s">
        <v>22</v>
      </c>
      <c r="D1218">
        <v>3</v>
      </c>
      <c r="E1218">
        <v>10</v>
      </c>
      <c r="F1218">
        <v>3.33</v>
      </c>
      <c r="G1218">
        <v>5</v>
      </c>
      <c r="H1218">
        <v>5</v>
      </c>
      <c r="I1218">
        <v>5</v>
      </c>
      <c r="J1218" s="1" t="s">
        <v>15</v>
      </c>
      <c r="K1218">
        <v>1</v>
      </c>
      <c r="L1218">
        <v>0</v>
      </c>
      <c r="M1218" t="str">
        <f>IF(tblPenalties[[#This Row],[total_yards]]=0, "Declined", "Accepted")</f>
        <v>Accepted</v>
      </c>
    </row>
    <row r="1219" spans="1:13" x14ac:dyDescent="0.25">
      <c r="A1219" s="1" t="s">
        <v>158</v>
      </c>
      <c r="B1219" s="1" t="s">
        <v>19</v>
      </c>
      <c r="C1219" s="1" t="s">
        <v>125</v>
      </c>
      <c r="D1219">
        <v>1</v>
      </c>
      <c r="E1219">
        <v>15</v>
      </c>
      <c r="F1219">
        <v>15</v>
      </c>
      <c r="G1219">
        <v>5</v>
      </c>
      <c r="H1219">
        <v>5</v>
      </c>
      <c r="I1219">
        <v>5</v>
      </c>
      <c r="J1219" s="1" t="s">
        <v>115</v>
      </c>
      <c r="K1219">
        <v>1</v>
      </c>
      <c r="L1219">
        <v>0</v>
      </c>
      <c r="M1219" t="str">
        <f>IF(tblPenalties[[#This Row],[total_yards]]=0, "Declined", "Accepted")</f>
        <v>Accepted</v>
      </c>
    </row>
    <row r="1220" spans="1:13" x14ac:dyDescent="0.25">
      <c r="A1220" s="1" t="s">
        <v>158</v>
      </c>
      <c r="B1220" s="1" t="s">
        <v>19</v>
      </c>
      <c r="C1220" s="1" t="s">
        <v>120</v>
      </c>
      <c r="D1220">
        <v>1</v>
      </c>
      <c r="E1220">
        <v>15</v>
      </c>
      <c r="F1220">
        <v>15</v>
      </c>
      <c r="G1220">
        <v>5</v>
      </c>
      <c r="H1220">
        <v>5</v>
      </c>
      <c r="I1220">
        <v>5</v>
      </c>
      <c r="J1220" s="1" t="s">
        <v>115</v>
      </c>
      <c r="K1220">
        <v>1</v>
      </c>
      <c r="L1220">
        <v>0</v>
      </c>
      <c r="M1220" t="str">
        <f>IF(tblPenalties[[#This Row],[total_yards]]=0, "Declined", "Accepted")</f>
        <v>Accepted</v>
      </c>
    </row>
    <row r="1221" spans="1:13" x14ac:dyDescent="0.25">
      <c r="A1221" s="1" t="s">
        <v>159</v>
      </c>
      <c r="B1221" s="1" t="s">
        <v>28</v>
      </c>
      <c r="C1221" s="1" t="s">
        <v>112</v>
      </c>
      <c r="D1221">
        <v>13</v>
      </c>
      <c r="E1221">
        <v>91</v>
      </c>
      <c r="F1221">
        <v>7</v>
      </c>
      <c r="G1221">
        <v>14</v>
      </c>
      <c r="H1221">
        <v>12</v>
      </c>
      <c r="I1221">
        <v>16</v>
      </c>
      <c r="J1221" s="1" t="s">
        <v>113</v>
      </c>
      <c r="K1221">
        <v>1</v>
      </c>
      <c r="L1221">
        <v>0</v>
      </c>
      <c r="M1221" t="str">
        <f>IF(tblPenalties[[#This Row],[total_yards]]=0, "Declined", "Accepted")</f>
        <v>Accepted</v>
      </c>
    </row>
    <row r="1222" spans="1:13" x14ac:dyDescent="0.25">
      <c r="A1222" s="1" t="s">
        <v>159</v>
      </c>
      <c r="B1222" s="1" t="s">
        <v>28</v>
      </c>
      <c r="C1222" s="1" t="s">
        <v>14</v>
      </c>
      <c r="D1222">
        <v>12</v>
      </c>
      <c r="E1222">
        <v>59</v>
      </c>
      <c r="F1222">
        <v>4.92</v>
      </c>
      <c r="G1222">
        <v>14</v>
      </c>
      <c r="H1222">
        <v>12</v>
      </c>
      <c r="I1222">
        <v>16</v>
      </c>
      <c r="J1222" s="1" t="s">
        <v>15</v>
      </c>
      <c r="K1222">
        <v>1</v>
      </c>
      <c r="L1222">
        <v>0</v>
      </c>
      <c r="M1222" t="str">
        <f>IF(tblPenalties[[#This Row],[total_yards]]=0, "Declined", "Accepted")</f>
        <v>Accepted</v>
      </c>
    </row>
    <row r="1223" spans="1:13" x14ac:dyDescent="0.25">
      <c r="A1223" s="1" t="s">
        <v>159</v>
      </c>
      <c r="B1223" s="1" t="s">
        <v>28</v>
      </c>
      <c r="C1223" s="1" t="s">
        <v>129</v>
      </c>
      <c r="D1223">
        <v>12</v>
      </c>
      <c r="E1223">
        <v>147</v>
      </c>
      <c r="F1223">
        <v>12.25</v>
      </c>
      <c r="G1223">
        <v>14</v>
      </c>
      <c r="H1223">
        <v>12</v>
      </c>
      <c r="I1223">
        <v>16</v>
      </c>
      <c r="J1223" s="1" t="s">
        <v>130</v>
      </c>
      <c r="K1223">
        <v>1</v>
      </c>
      <c r="L1223">
        <v>0</v>
      </c>
      <c r="M1223" t="str">
        <f>IF(tblPenalties[[#This Row],[total_yards]]=0, "Declined", "Accepted")</f>
        <v>Accepted</v>
      </c>
    </row>
    <row r="1224" spans="1:13" x14ac:dyDescent="0.25">
      <c r="A1224" s="1" t="s">
        <v>159</v>
      </c>
      <c r="B1224" s="1" t="s">
        <v>28</v>
      </c>
      <c r="C1224" s="1" t="s">
        <v>115</v>
      </c>
      <c r="D1224">
        <v>7</v>
      </c>
      <c r="E1224">
        <v>69</v>
      </c>
      <c r="F1224">
        <v>9.86</v>
      </c>
      <c r="G1224">
        <v>14</v>
      </c>
      <c r="H1224">
        <v>12</v>
      </c>
      <c r="I1224">
        <v>16</v>
      </c>
      <c r="J1224" s="1" t="s">
        <v>115</v>
      </c>
      <c r="K1224">
        <v>1</v>
      </c>
      <c r="L1224">
        <v>0</v>
      </c>
      <c r="M1224" t="str">
        <f>IF(tblPenalties[[#This Row],[total_yards]]=0, "Declined", "Accepted")</f>
        <v>Accepted</v>
      </c>
    </row>
    <row r="1225" spans="1:13" x14ac:dyDescent="0.25">
      <c r="A1225" s="1" t="s">
        <v>159</v>
      </c>
      <c r="B1225" s="1" t="s">
        <v>28</v>
      </c>
      <c r="C1225" s="1" t="s">
        <v>117</v>
      </c>
      <c r="D1225">
        <v>4</v>
      </c>
      <c r="E1225">
        <v>49</v>
      </c>
      <c r="F1225">
        <v>12.25</v>
      </c>
      <c r="G1225">
        <v>14</v>
      </c>
      <c r="H1225">
        <v>12</v>
      </c>
      <c r="I1225">
        <v>16</v>
      </c>
      <c r="J1225" s="1" t="s">
        <v>118</v>
      </c>
      <c r="K1225">
        <v>1</v>
      </c>
      <c r="L1225">
        <v>0</v>
      </c>
      <c r="M1225" t="str">
        <f>IF(tblPenalties[[#This Row],[total_yards]]=0, "Declined", "Accepted")</f>
        <v>Accepted</v>
      </c>
    </row>
    <row r="1226" spans="1:13" x14ac:dyDescent="0.25">
      <c r="A1226" s="1" t="s">
        <v>159</v>
      </c>
      <c r="B1226" s="1" t="s">
        <v>28</v>
      </c>
      <c r="C1226" s="1" t="s">
        <v>31</v>
      </c>
      <c r="D1226">
        <v>3</v>
      </c>
      <c r="E1226">
        <v>10</v>
      </c>
      <c r="F1226">
        <v>3.33</v>
      </c>
      <c r="G1226">
        <v>14</v>
      </c>
      <c r="H1226">
        <v>12</v>
      </c>
      <c r="I1226">
        <v>16</v>
      </c>
      <c r="J1226" s="1" t="s">
        <v>15</v>
      </c>
      <c r="K1226">
        <v>1</v>
      </c>
      <c r="L1226">
        <v>0</v>
      </c>
      <c r="M1226" t="str">
        <f>IF(tblPenalties[[#This Row],[total_yards]]=0, "Declined", "Accepted")</f>
        <v>Accepted</v>
      </c>
    </row>
    <row r="1227" spans="1:13" x14ac:dyDescent="0.25">
      <c r="A1227" s="1" t="s">
        <v>159</v>
      </c>
      <c r="B1227" s="1" t="s">
        <v>28</v>
      </c>
      <c r="C1227" s="1" t="s">
        <v>122</v>
      </c>
      <c r="D1227">
        <v>2</v>
      </c>
      <c r="E1227">
        <v>49</v>
      </c>
      <c r="F1227">
        <v>24.5</v>
      </c>
      <c r="G1227">
        <v>14</v>
      </c>
      <c r="H1227">
        <v>12</v>
      </c>
      <c r="I1227">
        <v>16</v>
      </c>
      <c r="J1227" s="1" t="s">
        <v>113</v>
      </c>
      <c r="K1227">
        <v>1</v>
      </c>
      <c r="L1227">
        <v>0</v>
      </c>
      <c r="M1227" t="str">
        <f>IF(tblPenalties[[#This Row],[total_yards]]=0, "Declined", "Accepted")</f>
        <v>Accepted</v>
      </c>
    </row>
    <row r="1228" spans="1:13" x14ac:dyDescent="0.25">
      <c r="A1228" s="1" t="s">
        <v>159</v>
      </c>
      <c r="B1228" s="1" t="s">
        <v>28</v>
      </c>
      <c r="C1228" s="1" t="s">
        <v>23</v>
      </c>
      <c r="D1228">
        <v>1</v>
      </c>
      <c r="E1228">
        <v>5</v>
      </c>
      <c r="F1228">
        <v>5</v>
      </c>
      <c r="G1228">
        <v>14</v>
      </c>
      <c r="H1228">
        <v>12</v>
      </c>
      <c r="I1228">
        <v>16</v>
      </c>
      <c r="J1228" s="1" t="s">
        <v>15</v>
      </c>
      <c r="K1228">
        <v>1</v>
      </c>
      <c r="L1228">
        <v>0</v>
      </c>
      <c r="M1228" t="str">
        <f>IF(tblPenalties[[#This Row],[total_yards]]=0, "Declined", "Accepted")</f>
        <v>Accepted</v>
      </c>
    </row>
    <row r="1229" spans="1:13" x14ac:dyDescent="0.25">
      <c r="A1229" s="1" t="s">
        <v>159</v>
      </c>
      <c r="B1229" s="1" t="s">
        <v>28</v>
      </c>
      <c r="C1229" s="1" t="s">
        <v>128</v>
      </c>
      <c r="D1229">
        <v>1</v>
      </c>
      <c r="E1229">
        <v>50</v>
      </c>
      <c r="F1229">
        <v>50</v>
      </c>
      <c r="G1229">
        <v>14</v>
      </c>
      <c r="H1229">
        <v>12</v>
      </c>
      <c r="I1229">
        <v>16</v>
      </c>
      <c r="J1229" s="1" t="s">
        <v>115</v>
      </c>
      <c r="K1229">
        <v>1</v>
      </c>
      <c r="L1229">
        <v>0</v>
      </c>
      <c r="M1229" t="str">
        <f>IF(tblPenalties[[#This Row],[total_yards]]=0, "Declined", "Accepted")</f>
        <v>Accepted</v>
      </c>
    </row>
    <row r="1230" spans="1:13" x14ac:dyDescent="0.25">
      <c r="A1230" s="1" t="s">
        <v>159</v>
      </c>
      <c r="B1230" s="1" t="s">
        <v>28</v>
      </c>
      <c r="C1230" s="1" t="s">
        <v>120</v>
      </c>
      <c r="D1230">
        <v>1</v>
      </c>
      <c r="E1230">
        <v>15</v>
      </c>
      <c r="F1230">
        <v>15</v>
      </c>
      <c r="G1230">
        <v>14</v>
      </c>
      <c r="H1230">
        <v>12</v>
      </c>
      <c r="I1230">
        <v>16</v>
      </c>
      <c r="J1230" s="1" t="s">
        <v>115</v>
      </c>
      <c r="K1230">
        <v>1</v>
      </c>
      <c r="L1230">
        <v>0</v>
      </c>
      <c r="M1230" t="str">
        <f>IF(tblPenalties[[#This Row],[total_yards]]=0, "Declined", "Accepted")</f>
        <v>Accepted</v>
      </c>
    </row>
    <row r="1231" spans="1:13" x14ac:dyDescent="0.25">
      <c r="A1231" s="1" t="s">
        <v>160</v>
      </c>
      <c r="B1231" s="1" t="s">
        <v>52</v>
      </c>
      <c r="C1231" s="1" t="s">
        <v>14</v>
      </c>
      <c r="D1231">
        <v>16</v>
      </c>
      <c r="E1231">
        <v>70</v>
      </c>
      <c r="F1231">
        <v>4.38</v>
      </c>
      <c r="G1231">
        <v>2</v>
      </c>
      <c r="H1231">
        <v>2</v>
      </c>
      <c r="I1231">
        <v>2</v>
      </c>
      <c r="J1231" s="1" t="s">
        <v>15</v>
      </c>
      <c r="K1231">
        <v>1</v>
      </c>
      <c r="L1231">
        <v>0</v>
      </c>
      <c r="M1231" t="str">
        <f>IF(tblPenalties[[#This Row],[total_yards]]=0, "Declined", "Accepted")</f>
        <v>Accepted</v>
      </c>
    </row>
    <row r="1232" spans="1:13" x14ac:dyDescent="0.25">
      <c r="A1232" s="1" t="s">
        <v>160</v>
      </c>
      <c r="B1232" s="1" t="s">
        <v>52</v>
      </c>
      <c r="C1232" s="1" t="s">
        <v>117</v>
      </c>
      <c r="D1232">
        <v>12</v>
      </c>
      <c r="E1232">
        <v>161</v>
      </c>
      <c r="F1232">
        <v>13.42</v>
      </c>
      <c r="G1232">
        <v>2</v>
      </c>
      <c r="H1232">
        <v>2</v>
      </c>
      <c r="I1232">
        <v>2</v>
      </c>
      <c r="J1232" s="1" t="s">
        <v>118</v>
      </c>
      <c r="K1232">
        <v>1</v>
      </c>
      <c r="L1232">
        <v>0</v>
      </c>
      <c r="M1232" t="str">
        <f>IF(tblPenalties[[#This Row],[total_yards]]=0, "Declined", "Accepted")</f>
        <v>Accepted</v>
      </c>
    </row>
    <row r="1233" spans="1:13" x14ac:dyDescent="0.25">
      <c r="A1233" s="1" t="s">
        <v>160</v>
      </c>
      <c r="B1233" s="1" t="s">
        <v>52</v>
      </c>
      <c r="C1233" s="1" t="s">
        <v>129</v>
      </c>
      <c r="D1233">
        <v>9</v>
      </c>
      <c r="E1233">
        <v>110</v>
      </c>
      <c r="F1233">
        <v>12.22</v>
      </c>
      <c r="G1233">
        <v>2</v>
      </c>
      <c r="H1233">
        <v>2</v>
      </c>
      <c r="I1233">
        <v>2</v>
      </c>
      <c r="J1233" s="1" t="s">
        <v>130</v>
      </c>
      <c r="K1233">
        <v>1</v>
      </c>
      <c r="L1233">
        <v>0</v>
      </c>
      <c r="M1233" t="str">
        <f>IF(tblPenalties[[#This Row],[total_yards]]=0, "Declined", "Accepted")</f>
        <v>Accepted</v>
      </c>
    </row>
    <row r="1234" spans="1:13" x14ac:dyDescent="0.25">
      <c r="A1234" s="1" t="s">
        <v>160</v>
      </c>
      <c r="B1234" s="1" t="s">
        <v>52</v>
      </c>
      <c r="C1234" s="1" t="s">
        <v>22</v>
      </c>
      <c r="D1234">
        <v>6</v>
      </c>
      <c r="E1234">
        <v>30</v>
      </c>
      <c r="F1234">
        <v>5</v>
      </c>
      <c r="G1234">
        <v>2</v>
      </c>
      <c r="H1234">
        <v>2</v>
      </c>
      <c r="I1234">
        <v>2</v>
      </c>
      <c r="J1234" s="1" t="s">
        <v>15</v>
      </c>
      <c r="K1234">
        <v>1</v>
      </c>
      <c r="L1234">
        <v>0</v>
      </c>
      <c r="M1234" t="str">
        <f>IF(tblPenalties[[#This Row],[total_yards]]=0, "Declined", "Accepted")</f>
        <v>Accepted</v>
      </c>
    </row>
    <row r="1235" spans="1:13" x14ac:dyDescent="0.25">
      <c r="A1235" s="1" t="s">
        <v>160</v>
      </c>
      <c r="B1235" s="1" t="s">
        <v>52</v>
      </c>
      <c r="C1235" s="1" t="s">
        <v>31</v>
      </c>
      <c r="D1235">
        <v>4</v>
      </c>
      <c r="E1235">
        <v>10</v>
      </c>
      <c r="F1235">
        <v>2.5</v>
      </c>
      <c r="G1235">
        <v>2</v>
      </c>
      <c r="H1235">
        <v>2</v>
      </c>
      <c r="I1235">
        <v>2</v>
      </c>
      <c r="J1235" s="1" t="s">
        <v>15</v>
      </c>
      <c r="K1235">
        <v>1</v>
      </c>
      <c r="L1235">
        <v>0</v>
      </c>
      <c r="M1235" t="str">
        <f>IF(tblPenalties[[#This Row],[total_yards]]=0, "Declined", "Accepted")</f>
        <v>Accepted</v>
      </c>
    </row>
    <row r="1236" spans="1:13" x14ac:dyDescent="0.25">
      <c r="A1236" s="1" t="s">
        <v>160</v>
      </c>
      <c r="B1236" s="1" t="s">
        <v>52</v>
      </c>
      <c r="C1236" s="1" t="s">
        <v>112</v>
      </c>
      <c r="D1236">
        <v>4</v>
      </c>
      <c r="E1236">
        <v>79</v>
      </c>
      <c r="F1236">
        <v>19.75</v>
      </c>
      <c r="G1236">
        <v>2</v>
      </c>
      <c r="H1236">
        <v>2</v>
      </c>
      <c r="I1236">
        <v>2</v>
      </c>
      <c r="J1236" s="1" t="s">
        <v>113</v>
      </c>
      <c r="K1236">
        <v>1</v>
      </c>
      <c r="L1236">
        <v>0</v>
      </c>
      <c r="M1236" t="str">
        <f>IF(tblPenalties[[#This Row],[total_yards]]=0, "Declined", "Accepted")</f>
        <v>Accepted</v>
      </c>
    </row>
    <row r="1237" spans="1:13" x14ac:dyDescent="0.25">
      <c r="A1237" s="1" t="s">
        <v>160</v>
      </c>
      <c r="B1237" s="1" t="s">
        <v>52</v>
      </c>
      <c r="C1237" s="1" t="s">
        <v>115</v>
      </c>
      <c r="D1237">
        <v>2</v>
      </c>
      <c r="E1237">
        <v>11</v>
      </c>
      <c r="F1237">
        <v>5.5</v>
      </c>
      <c r="G1237">
        <v>2</v>
      </c>
      <c r="H1237">
        <v>2</v>
      </c>
      <c r="I1237">
        <v>2</v>
      </c>
      <c r="J1237" s="1" t="s">
        <v>115</v>
      </c>
      <c r="K1237">
        <v>1</v>
      </c>
      <c r="L1237">
        <v>0</v>
      </c>
      <c r="M1237" t="str">
        <f>IF(tblPenalties[[#This Row],[total_yards]]=0, "Declined", "Accepted")</f>
        <v>Accepted</v>
      </c>
    </row>
    <row r="1238" spans="1:13" x14ac:dyDescent="0.25">
      <c r="A1238" s="1" t="s">
        <v>160</v>
      </c>
      <c r="B1238" s="1" t="s">
        <v>52</v>
      </c>
      <c r="C1238" s="1" t="s">
        <v>122</v>
      </c>
      <c r="D1238">
        <v>1</v>
      </c>
      <c r="E1238">
        <v>15</v>
      </c>
      <c r="F1238">
        <v>15</v>
      </c>
      <c r="G1238">
        <v>2</v>
      </c>
      <c r="H1238">
        <v>2</v>
      </c>
      <c r="I1238">
        <v>2</v>
      </c>
      <c r="J1238" s="1" t="s">
        <v>113</v>
      </c>
      <c r="K1238">
        <v>1</v>
      </c>
      <c r="L1238">
        <v>0</v>
      </c>
      <c r="M1238" t="str">
        <f>IF(tblPenalties[[#This Row],[total_yards]]=0, "Declined", "Accepted")</f>
        <v>Accepted</v>
      </c>
    </row>
    <row r="1239" spans="1:13" x14ac:dyDescent="0.25">
      <c r="A1239" s="1" t="s">
        <v>160</v>
      </c>
      <c r="B1239" s="1" t="s">
        <v>52</v>
      </c>
      <c r="C1239" s="1" t="s">
        <v>23</v>
      </c>
      <c r="D1239">
        <v>1</v>
      </c>
      <c r="E1239">
        <v>9</v>
      </c>
      <c r="F1239">
        <v>9</v>
      </c>
      <c r="G1239">
        <v>2</v>
      </c>
      <c r="H1239">
        <v>2</v>
      </c>
      <c r="I1239">
        <v>2</v>
      </c>
      <c r="J1239" s="1" t="s">
        <v>15</v>
      </c>
      <c r="K1239">
        <v>1</v>
      </c>
      <c r="L1239">
        <v>0</v>
      </c>
      <c r="M1239" t="str">
        <f>IF(tblPenalties[[#This Row],[total_yards]]=0, "Declined", "Accepted")</f>
        <v>Accepted</v>
      </c>
    </row>
    <row r="1240" spans="1:13" x14ac:dyDescent="0.25">
      <c r="A1240" s="1" t="s">
        <v>161</v>
      </c>
      <c r="B1240" s="1" t="s">
        <v>28</v>
      </c>
      <c r="C1240" s="1" t="s">
        <v>129</v>
      </c>
      <c r="D1240">
        <v>21</v>
      </c>
      <c r="E1240">
        <v>227</v>
      </c>
      <c r="F1240">
        <v>10.81</v>
      </c>
      <c r="G1240">
        <v>19</v>
      </c>
      <c r="H1240">
        <v>21</v>
      </c>
      <c r="I1240">
        <v>20</v>
      </c>
      <c r="J1240" s="1" t="s">
        <v>130</v>
      </c>
      <c r="K1240">
        <v>1</v>
      </c>
      <c r="L1240">
        <v>0</v>
      </c>
      <c r="M1240" t="str">
        <f>IF(tblPenalties[[#This Row],[total_yards]]=0, "Declined", "Accepted")</f>
        <v>Accepted</v>
      </c>
    </row>
    <row r="1241" spans="1:13" x14ac:dyDescent="0.25">
      <c r="A1241" s="1" t="s">
        <v>161</v>
      </c>
      <c r="B1241" s="1" t="s">
        <v>28</v>
      </c>
      <c r="C1241" s="1" t="s">
        <v>14</v>
      </c>
      <c r="D1241">
        <v>8</v>
      </c>
      <c r="E1241">
        <v>40</v>
      </c>
      <c r="F1241">
        <v>5</v>
      </c>
      <c r="G1241">
        <v>19</v>
      </c>
      <c r="H1241">
        <v>21</v>
      </c>
      <c r="I1241">
        <v>20</v>
      </c>
      <c r="J1241" s="1" t="s">
        <v>15</v>
      </c>
      <c r="K1241">
        <v>1</v>
      </c>
      <c r="L1241">
        <v>0</v>
      </c>
      <c r="M1241" t="str">
        <f>IF(tblPenalties[[#This Row],[total_yards]]=0, "Declined", "Accepted")</f>
        <v>Accepted</v>
      </c>
    </row>
    <row r="1242" spans="1:13" x14ac:dyDescent="0.25">
      <c r="A1242" s="1" t="s">
        <v>161</v>
      </c>
      <c r="B1242" s="1" t="s">
        <v>28</v>
      </c>
      <c r="C1242" s="1" t="s">
        <v>112</v>
      </c>
      <c r="D1242">
        <v>8</v>
      </c>
      <c r="E1242">
        <v>47</v>
      </c>
      <c r="F1242">
        <v>5.88</v>
      </c>
      <c r="G1242">
        <v>19</v>
      </c>
      <c r="H1242">
        <v>21</v>
      </c>
      <c r="I1242">
        <v>20</v>
      </c>
      <c r="J1242" s="1" t="s">
        <v>113</v>
      </c>
      <c r="K1242">
        <v>1</v>
      </c>
      <c r="L1242">
        <v>0</v>
      </c>
      <c r="M1242" t="str">
        <f>IF(tblPenalties[[#This Row],[total_yards]]=0, "Declined", "Accepted")</f>
        <v>Accepted</v>
      </c>
    </row>
    <row r="1243" spans="1:13" x14ac:dyDescent="0.25">
      <c r="A1243" s="1" t="s">
        <v>161</v>
      </c>
      <c r="B1243" s="1" t="s">
        <v>28</v>
      </c>
      <c r="C1243" s="1" t="s">
        <v>115</v>
      </c>
      <c r="D1243">
        <v>7</v>
      </c>
      <c r="E1243">
        <v>38</v>
      </c>
      <c r="F1243">
        <v>5.43</v>
      </c>
      <c r="G1243">
        <v>19</v>
      </c>
      <c r="H1243">
        <v>21</v>
      </c>
      <c r="I1243">
        <v>20</v>
      </c>
      <c r="J1243" s="1" t="s">
        <v>115</v>
      </c>
      <c r="K1243">
        <v>1</v>
      </c>
      <c r="L1243">
        <v>0</v>
      </c>
      <c r="M1243" t="str">
        <f>IF(tblPenalties[[#This Row],[total_yards]]=0, "Declined", "Accepted")</f>
        <v>Accepted</v>
      </c>
    </row>
    <row r="1244" spans="1:13" x14ac:dyDescent="0.25">
      <c r="A1244" s="1" t="s">
        <v>161</v>
      </c>
      <c r="B1244" s="1" t="s">
        <v>28</v>
      </c>
      <c r="C1244" s="1" t="s">
        <v>22</v>
      </c>
      <c r="D1244">
        <v>6</v>
      </c>
      <c r="E1244">
        <v>20</v>
      </c>
      <c r="F1244">
        <v>3.33</v>
      </c>
      <c r="G1244">
        <v>19</v>
      </c>
      <c r="H1244">
        <v>21</v>
      </c>
      <c r="I1244">
        <v>20</v>
      </c>
      <c r="J1244" s="1" t="s">
        <v>15</v>
      </c>
      <c r="K1244">
        <v>1</v>
      </c>
      <c r="L1244">
        <v>0</v>
      </c>
      <c r="M1244" t="str">
        <f>IF(tblPenalties[[#This Row],[total_yards]]=0, "Declined", "Accepted")</f>
        <v>Accepted</v>
      </c>
    </row>
    <row r="1245" spans="1:13" x14ac:dyDescent="0.25">
      <c r="A1245" s="1" t="s">
        <v>161</v>
      </c>
      <c r="B1245" s="1" t="s">
        <v>28</v>
      </c>
      <c r="C1245" s="1" t="s">
        <v>117</v>
      </c>
      <c r="D1245">
        <v>6</v>
      </c>
      <c r="E1245">
        <v>52</v>
      </c>
      <c r="F1245">
        <v>8.67</v>
      </c>
      <c r="G1245">
        <v>19</v>
      </c>
      <c r="H1245">
        <v>21</v>
      </c>
      <c r="I1245">
        <v>20</v>
      </c>
      <c r="J1245" s="1" t="s">
        <v>118</v>
      </c>
      <c r="K1245">
        <v>1</v>
      </c>
      <c r="L1245">
        <v>0</v>
      </c>
      <c r="M1245" t="str">
        <f>IF(tblPenalties[[#This Row],[total_yards]]=0, "Declined", "Accepted")</f>
        <v>Accepted</v>
      </c>
    </row>
    <row r="1246" spans="1:13" x14ac:dyDescent="0.25">
      <c r="A1246" s="1" t="s">
        <v>161</v>
      </c>
      <c r="B1246" s="1" t="s">
        <v>28</v>
      </c>
      <c r="C1246" s="1" t="s">
        <v>114</v>
      </c>
      <c r="D1246">
        <v>4</v>
      </c>
      <c r="E1246">
        <v>95</v>
      </c>
      <c r="F1246">
        <v>23.75</v>
      </c>
      <c r="G1246">
        <v>19</v>
      </c>
      <c r="H1246">
        <v>21</v>
      </c>
      <c r="I1246">
        <v>20</v>
      </c>
      <c r="J1246" s="1" t="s">
        <v>115</v>
      </c>
      <c r="K1246">
        <v>1</v>
      </c>
      <c r="L1246">
        <v>0</v>
      </c>
      <c r="M1246" t="str">
        <f>IF(tblPenalties[[#This Row],[total_yards]]=0, "Declined", "Accepted")</f>
        <v>Accepted</v>
      </c>
    </row>
    <row r="1247" spans="1:13" x14ac:dyDescent="0.25">
      <c r="A1247" s="1" t="s">
        <v>161</v>
      </c>
      <c r="B1247" s="1" t="s">
        <v>28</v>
      </c>
      <c r="C1247" s="1" t="s">
        <v>122</v>
      </c>
      <c r="D1247">
        <v>2</v>
      </c>
      <c r="E1247">
        <v>23</v>
      </c>
      <c r="F1247">
        <v>11.5</v>
      </c>
      <c r="G1247">
        <v>19</v>
      </c>
      <c r="H1247">
        <v>21</v>
      </c>
      <c r="I1247">
        <v>20</v>
      </c>
      <c r="J1247" s="1" t="s">
        <v>113</v>
      </c>
      <c r="K1247">
        <v>1</v>
      </c>
      <c r="L1247">
        <v>0</v>
      </c>
      <c r="M1247" t="str">
        <f>IF(tblPenalties[[#This Row],[total_yards]]=0, "Declined", "Accepted")</f>
        <v>Accepted</v>
      </c>
    </row>
    <row r="1248" spans="1:13" x14ac:dyDescent="0.25">
      <c r="A1248" s="1" t="s">
        <v>161</v>
      </c>
      <c r="B1248" s="1" t="s">
        <v>28</v>
      </c>
      <c r="C1248" s="1" t="s">
        <v>128</v>
      </c>
      <c r="D1248">
        <v>2</v>
      </c>
      <c r="E1248">
        <v>28</v>
      </c>
      <c r="F1248">
        <v>14</v>
      </c>
      <c r="G1248">
        <v>19</v>
      </c>
      <c r="H1248">
        <v>21</v>
      </c>
      <c r="I1248">
        <v>20</v>
      </c>
      <c r="J1248" s="1" t="s">
        <v>115</v>
      </c>
      <c r="K1248">
        <v>1</v>
      </c>
      <c r="L1248">
        <v>0</v>
      </c>
      <c r="M1248" t="str">
        <f>IF(tblPenalties[[#This Row],[total_yards]]=0, "Declined", "Accepted")</f>
        <v>Accepted</v>
      </c>
    </row>
    <row r="1249" spans="1:13" x14ac:dyDescent="0.25">
      <c r="A1249" s="1" t="s">
        <v>161</v>
      </c>
      <c r="B1249" s="1" t="s">
        <v>28</v>
      </c>
      <c r="C1249" s="1" t="s">
        <v>23</v>
      </c>
      <c r="D1249">
        <v>1</v>
      </c>
      <c r="E1249">
        <v>3</v>
      </c>
      <c r="F1249">
        <v>3</v>
      </c>
      <c r="G1249">
        <v>19</v>
      </c>
      <c r="H1249">
        <v>21</v>
      </c>
      <c r="I1249">
        <v>20</v>
      </c>
      <c r="J1249" s="1" t="s">
        <v>15</v>
      </c>
      <c r="K1249">
        <v>1</v>
      </c>
      <c r="L1249">
        <v>0</v>
      </c>
      <c r="M1249" t="str">
        <f>IF(tblPenalties[[#This Row],[total_yards]]=0, "Declined", "Accepted")</f>
        <v>Accepted</v>
      </c>
    </row>
    <row r="1250" spans="1:13" x14ac:dyDescent="0.25">
      <c r="A1250" s="1" t="s">
        <v>161</v>
      </c>
      <c r="B1250" s="1" t="s">
        <v>28</v>
      </c>
      <c r="C1250" s="1" t="s">
        <v>31</v>
      </c>
      <c r="D1250">
        <v>1</v>
      </c>
      <c r="E1250">
        <v>2</v>
      </c>
      <c r="F1250">
        <v>2</v>
      </c>
      <c r="G1250">
        <v>19</v>
      </c>
      <c r="H1250">
        <v>21</v>
      </c>
      <c r="I1250">
        <v>20</v>
      </c>
      <c r="J1250" s="1" t="s">
        <v>15</v>
      </c>
      <c r="K1250">
        <v>1</v>
      </c>
      <c r="L1250">
        <v>0</v>
      </c>
      <c r="M1250" t="str">
        <f>IF(tblPenalties[[#This Row],[total_yards]]=0, "Declined", "Accepted")</f>
        <v>Accepted</v>
      </c>
    </row>
    <row r="1251" spans="1:13" x14ac:dyDescent="0.25">
      <c r="A1251" s="1" t="s">
        <v>161</v>
      </c>
      <c r="B1251" s="1" t="s">
        <v>28</v>
      </c>
      <c r="C1251" s="1" t="s">
        <v>120</v>
      </c>
      <c r="D1251">
        <v>1</v>
      </c>
      <c r="E1251">
        <v>15</v>
      </c>
      <c r="F1251">
        <v>15</v>
      </c>
      <c r="G1251">
        <v>19</v>
      </c>
      <c r="H1251">
        <v>21</v>
      </c>
      <c r="I1251">
        <v>20</v>
      </c>
      <c r="J1251" s="1" t="s">
        <v>115</v>
      </c>
      <c r="K1251">
        <v>1</v>
      </c>
      <c r="L1251">
        <v>0</v>
      </c>
      <c r="M1251" t="str">
        <f>IF(tblPenalties[[#This Row],[total_yards]]=0, "Declined", "Accepted")</f>
        <v>Accepted</v>
      </c>
    </row>
    <row r="1252" spans="1:13" x14ac:dyDescent="0.25">
      <c r="A1252" s="1" t="s">
        <v>162</v>
      </c>
      <c r="B1252" s="1" t="s">
        <v>28</v>
      </c>
      <c r="C1252" s="1" t="s">
        <v>14</v>
      </c>
      <c r="D1252">
        <v>21</v>
      </c>
      <c r="E1252">
        <v>74</v>
      </c>
      <c r="F1252">
        <v>3.52</v>
      </c>
      <c r="G1252">
        <v>16</v>
      </c>
      <c r="H1252">
        <v>16</v>
      </c>
      <c r="I1252">
        <v>15</v>
      </c>
      <c r="J1252" s="1" t="s">
        <v>15</v>
      </c>
      <c r="K1252">
        <v>1</v>
      </c>
      <c r="L1252">
        <v>0</v>
      </c>
      <c r="M1252" t="str">
        <f>IF(tblPenalties[[#This Row],[total_yards]]=0, "Declined", "Accepted")</f>
        <v>Accepted</v>
      </c>
    </row>
    <row r="1253" spans="1:13" x14ac:dyDescent="0.25">
      <c r="A1253" s="1" t="s">
        <v>162</v>
      </c>
      <c r="B1253" s="1" t="s">
        <v>28</v>
      </c>
      <c r="C1253" s="1" t="s">
        <v>129</v>
      </c>
      <c r="D1253">
        <v>14</v>
      </c>
      <c r="E1253">
        <v>71</v>
      </c>
      <c r="F1253">
        <v>5.07</v>
      </c>
      <c r="G1253">
        <v>16</v>
      </c>
      <c r="H1253">
        <v>16</v>
      </c>
      <c r="I1253">
        <v>15</v>
      </c>
      <c r="J1253" s="1" t="s">
        <v>130</v>
      </c>
      <c r="K1253">
        <v>1</v>
      </c>
      <c r="L1253">
        <v>0</v>
      </c>
      <c r="M1253" t="str">
        <f>IF(tblPenalties[[#This Row],[total_yards]]=0, "Declined", "Accepted")</f>
        <v>Accepted</v>
      </c>
    </row>
    <row r="1254" spans="1:13" x14ac:dyDescent="0.25">
      <c r="A1254" s="1" t="s">
        <v>162</v>
      </c>
      <c r="B1254" s="1" t="s">
        <v>28</v>
      </c>
      <c r="C1254" s="1" t="s">
        <v>22</v>
      </c>
      <c r="D1254">
        <v>4</v>
      </c>
      <c r="E1254">
        <v>15</v>
      </c>
      <c r="F1254">
        <v>3.75</v>
      </c>
      <c r="G1254">
        <v>16</v>
      </c>
      <c r="H1254">
        <v>16</v>
      </c>
      <c r="I1254">
        <v>15</v>
      </c>
      <c r="J1254" s="1" t="s">
        <v>15</v>
      </c>
      <c r="K1254">
        <v>1</v>
      </c>
      <c r="L1254">
        <v>0</v>
      </c>
      <c r="M1254" t="str">
        <f>IF(tblPenalties[[#This Row],[total_yards]]=0, "Declined", "Accepted")</f>
        <v>Accepted</v>
      </c>
    </row>
    <row r="1255" spans="1:13" x14ac:dyDescent="0.25">
      <c r="A1255" s="1" t="s">
        <v>162</v>
      </c>
      <c r="B1255" s="1" t="s">
        <v>28</v>
      </c>
      <c r="C1255" s="1" t="s">
        <v>112</v>
      </c>
      <c r="D1255">
        <v>4</v>
      </c>
      <c r="E1255">
        <v>58</v>
      </c>
      <c r="F1255">
        <v>14.5</v>
      </c>
      <c r="G1255">
        <v>16</v>
      </c>
      <c r="H1255">
        <v>16</v>
      </c>
      <c r="I1255">
        <v>15</v>
      </c>
      <c r="J1255" s="1" t="s">
        <v>113</v>
      </c>
      <c r="K1255">
        <v>1</v>
      </c>
      <c r="L1255">
        <v>0</v>
      </c>
      <c r="M1255" t="str">
        <f>IF(tblPenalties[[#This Row],[total_yards]]=0, "Declined", "Accepted")</f>
        <v>Accepted</v>
      </c>
    </row>
    <row r="1256" spans="1:13" x14ac:dyDescent="0.25">
      <c r="A1256" s="1" t="s">
        <v>162</v>
      </c>
      <c r="B1256" s="1" t="s">
        <v>28</v>
      </c>
      <c r="C1256" s="1" t="s">
        <v>128</v>
      </c>
      <c r="D1256">
        <v>4</v>
      </c>
      <c r="E1256">
        <v>33</v>
      </c>
      <c r="F1256">
        <v>8.25</v>
      </c>
      <c r="G1256">
        <v>16</v>
      </c>
      <c r="H1256">
        <v>16</v>
      </c>
      <c r="I1256">
        <v>15</v>
      </c>
      <c r="J1256" s="1" t="s">
        <v>115</v>
      </c>
      <c r="K1256">
        <v>1</v>
      </c>
      <c r="L1256">
        <v>0</v>
      </c>
      <c r="M1256" t="str">
        <f>IF(tblPenalties[[#This Row],[total_yards]]=0, "Declined", "Accepted")</f>
        <v>Accepted</v>
      </c>
    </row>
    <row r="1257" spans="1:13" x14ac:dyDescent="0.25">
      <c r="A1257" s="1" t="s">
        <v>162</v>
      </c>
      <c r="B1257" s="1" t="s">
        <v>28</v>
      </c>
      <c r="C1257" s="1" t="s">
        <v>117</v>
      </c>
      <c r="D1257">
        <v>3</v>
      </c>
      <c r="E1257">
        <v>15</v>
      </c>
      <c r="F1257">
        <v>5</v>
      </c>
      <c r="G1257">
        <v>16</v>
      </c>
      <c r="H1257">
        <v>16</v>
      </c>
      <c r="I1257">
        <v>15</v>
      </c>
      <c r="J1257" s="1" t="s">
        <v>118</v>
      </c>
      <c r="K1257">
        <v>1</v>
      </c>
      <c r="L1257">
        <v>0</v>
      </c>
      <c r="M1257" t="str">
        <f>IF(tblPenalties[[#This Row],[total_yards]]=0, "Declined", "Accepted")</f>
        <v>Accepted</v>
      </c>
    </row>
    <row r="1258" spans="1:13" x14ac:dyDescent="0.25">
      <c r="A1258" s="1" t="s">
        <v>162</v>
      </c>
      <c r="B1258" s="1" t="s">
        <v>28</v>
      </c>
      <c r="C1258" s="1" t="s">
        <v>122</v>
      </c>
      <c r="D1258">
        <v>1</v>
      </c>
      <c r="E1258">
        <v>0</v>
      </c>
      <c r="F1258">
        <v>0</v>
      </c>
      <c r="G1258">
        <v>16</v>
      </c>
      <c r="H1258">
        <v>16</v>
      </c>
      <c r="I1258">
        <v>15</v>
      </c>
      <c r="J1258" s="1" t="s">
        <v>113</v>
      </c>
      <c r="K1258">
        <v>0</v>
      </c>
      <c r="L1258">
        <v>1</v>
      </c>
      <c r="M1258" t="str">
        <f>IF(tblPenalties[[#This Row],[total_yards]]=0, "Declined", "Accepted")</f>
        <v>Declined</v>
      </c>
    </row>
    <row r="1259" spans="1:13" x14ac:dyDescent="0.25">
      <c r="A1259" s="1" t="s">
        <v>162</v>
      </c>
      <c r="B1259" s="1" t="s">
        <v>28</v>
      </c>
      <c r="C1259" s="1" t="s">
        <v>49</v>
      </c>
      <c r="D1259">
        <v>1</v>
      </c>
      <c r="E1259">
        <v>0</v>
      </c>
      <c r="F1259">
        <v>0</v>
      </c>
      <c r="G1259">
        <v>16</v>
      </c>
      <c r="H1259">
        <v>16</v>
      </c>
      <c r="I1259">
        <v>15</v>
      </c>
      <c r="J1259" s="1" t="s">
        <v>15</v>
      </c>
      <c r="K1259">
        <v>0</v>
      </c>
      <c r="L1259">
        <v>1</v>
      </c>
      <c r="M1259" t="str">
        <f>IF(tblPenalties[[#This Row],[total_yards]]=0, "Declined", "Accepted")</f>
        <v>Declined</v>
      </c>
    </row>
    <row r="1260" spans="1:13" x14ac:dyDescent="0.25">
      <c r="A1260" s="1" t="s">
        <v>162</v>
      </c>
      <c r="B1260" s="1" t="s">
        <v>28</v>
      </c>
      <c r="C1260" s="1" t="s">
        <v>31</v>
      </c>
      <c r="D1260">
        <v>1</v>
      </c>
      <c r="E1260">
        <v>0</v>
      </c>
      <c r="F1260">
        <v>0</v>
      </c>
      <c r="G1260">
        <v>16</v>
      </c>
      <c r="H1260">
        <v>16</v>
      </c>
      <c r="I1260">
        <v>15</v>
      </c>
      <c r="J1260" s="1" t="s">
        <v>15</v>
      </c>
      <c r="K1260">
        <v>0</v>
      </c>
      <c r="L1260">
        <v>1</v>
      </c>
      <c r="M1260" t="str">
        <f>IF(tblPenalties[[#This Row],[total_yards]]=0, "Declined", "Accepted")</f>
        <v>Declined</v>
      </c>
    </row>
    <row r="1261" spans="1:13" x14ac:dyDescent="0.25">
      <c r="A1261" s="1" t="s">
        <v>162</v>
      </c>
      <c r="B1261" s="1" t="s">
        <v>28</v>
      </c>
      <c r="C1261" s="1" t="s">
        <v>115</v>
      </c>
      <c r="D1261">
        <v>1</v>
      </c>
      <c r="E1261">
        <v>0</v>
      </c>
      <c r="F1261">
        <v>0</v>
      </c>
      <c r="G1261">
        <v>16</v>
      </c>
      <c r="H1261">
        <v>16</v>
      </c>
      <c r="I1261">
        <v>15</v>
      </c>
      <c r="J1261" s="1" t="s">
        <v>115</v>
      </c>
      <c r="K1261">
        <v>0</v>
      </c>
      <c r="L1261">
        <v>1</v>
      </c>
      <c r="M1261" t="str">
        <f>IF(tblPenalties[[#This Row],[total_yards]]=0, "Declined", "Accepted")</f>
        <v>Declined</v>
      </c>
    </row>
    <row r="1262" spans="1:13" x14ac:dyDescent="0.25">
      <c r="A1262" s="1" t="s">
        <v>162</v>
      </c>
      <c r="B1262" s="1" t="s">
        <v>28</v>
      </c>
      <c r="C1262" s="1" t="s">
        <v>120</v>
      </c>
      <c r="D1262">
        <v>1</v>
      </c>
      <c r="E1262">
        <v>0</v>
      </c>
      <c r="F1262">
        <v>0</v>
      </c>
      <c r="G1262">
        <v>16</v>
      </c>
      <c r="H1262">
        <v>16</v>
      </c>
      <c r="I1262">
        <v>15</v>
      </c>
      <c r="J1262" s="1" t="s">
        <v>115</v>
      </c>
      <c r="K1262">
        <v>0</v>
      </c>
      <c r="L1262">
        <v>1</v>
      </c>
      <c r="M1262" t="str">
        <f>IF(tblPenalties[[#This Row],[total_yards]]=0, "Declined", "Accepted")</f>
        <v>Declined</v>
      </c>
    </row>
    <row r="1263" spans="1:13" x14ac:dyDescent="0.25">
      <c r="A1263" s="1" t="s">
        <v>162</v>
      </c>
      <c r="B1263" s="1" t="s">
        <v>28</v>
      </c>
      <c r="C1263" s="1" t="s">
        <v>114</v>
      </c>
      <c r="D1263">
        <v>1</v>
      </c>
      <c r="E1263">
        <v>6</v>
      </c>
      <c r="F1263">
        <v>6</v>
      </c>
      <c r="G1263">
        <v>16</v>
      </c>
      <c r="H1263">
        <v>16</v>
      </c>
      <c r="I1263">
        <v>15</v>
      </c>
      <c r="J1263" s="1" t="s">
        <v>115</v>
      </c>
      <c r="K1263">
        <v>1</v>
      </c>
      <c r="L1263">
        <v>0</v>
      </c>
      <c r="M1263" t="str">
        <f>IF(tblPenalties[[#This Row],[total_yards]]=0, "Declined", "Accepted")</f>
        <v>Accepted</v>
      </c>
    </row>
    <row r="1264" spans="1:13" x14ac:dyDescent="0.25">
      <c r="A1264" s="1" t="s">
        <v>163</v>
      </c>
      <c r="B1264" s="1" t="s">
        <v>52</v>
      </c>
      <c r="C1264" s="1" t="s">
        <v>129</v>
      </c>
      <c r="D1264">
        <v>10</v>
      </c>
      <c r="E1264">
        <v>45</v>
      </c>
      <c r="F1264">
        <v>4.5</v>
      </c>
      <c r="G1264">
        <v>18</v>
      </c>
      <c r="H1264">
        <v>17</v>
      </c>
      <c r="I1264">
        <v>18</v>
      </c>
      <c r="J1264" s="1" t="s">
        <v>130</v>
      </c>
      <c r="K1264">
        <v>1</v>
      </c>
      <c r="L1264">
        <v>0</v>
      </c>
      <c r="M1264" t="str">
        <f>IF(tblPenalties[[#This Row],[total_yards]]=0, "Declined", "Accepted")</f>
        <v>Accepted</v>
      </c>
    </row>
    <row r="1265" spans="1:13" x14ac:dyDescent="0.25">
      <c r="A1265" s="1" t="s">
        <v>163</v>
      </c>
      <c r="B1265" s="1" t="s">
        <v>52</v>
      </c>
      <c r="C1265" s="1" t="s">
        <v>14</v>
      </c>
      <c r="D1265">
        <v>5</v>
      </c>
      <c r="E1265">
        <v>25</v>
      </c>
      <c r="F1265">
        <v>5</v>
      </c>
      <c r="G1265">
        <v>18</v>
      </c>
      <c r="H1265">
        <v>17</v>
      </c>
      <c r="I1265">
        <v>18</v>
      </c>
      <c r="J1265" s="1" t="s">
        <v>15</v>
      </c>
      <c r="K1265">
        <v>1</v>
      </c>
      <c r="L1265">
        <v>0</v>
      </c>
      <c r="M1265" t="str">
        <f>IF(tblPenalties[[#This Row],[total_yards]]=0, "Declined", "Accepted")</f>
        <v>Accepted</v>
      </c>
    </row>
    <row r="1266" spans="1:13" x14ac:dyDescent="0.25">
      <c r="A1266" s="1" t="s">
        <v>163</v>
      </c>
      <c r="B1266" s="1" t="s">
        <v>52</v>
      </c>
      <c r="C1266" s="1" t="s">
        <v>31</v>
      </c>
      <c r="D1266">
        <v>5</v>
      </c>
      <c r="E1266">
        <v>89</v>
      </c>
      <c r="F1266">
        <v>17.8</v>
      </c>
      <c r="G1266">
        <v>18</v>
      </c>
      <c r="H1266">
        <v>17</v>
      </c>
      <c r="I1266">
        <v>18</v>
      </c>
      <c r="J1266" s="1" t="s">
        <v>15</v>
      </c>
      <c r="K1266">
        <v>1</v>
      </c>
      <c r="L1266">
        <v>0</v>
      </c>
      <c r="M1266" t="str">
        <f>IF(tblPenalties[[#This Row],[total_yards]]=0, "Declined", "Accepted")</f>
        <v>Accepted</v>
      </c>
    </row>
    <row r="1267" spans="1:13" x14ac:dyDescent="0.25">
      <c r="A1267" s="1" t="s">
        <v>163</v>
      </c>
      <c r="B1267" s="1" t="s">
        <v>52</v>
      </c>
      <c r="C1267" s="1" t="s">
        <v>112</v>
      </c>
      <c r="D1267">
        <v>4</v>
      </c>
      <c r="E1267">
        <v>22</v>
      </c>
      <c r="F1267">
        <v>5.5</v>
      </c>
      <c r="G1267">
        <v>18</v>
      </c>
      <c r="H1267">
        <v>17</v>
      </c>
      <c r="I1267">
        <v>18</v>
      </c>
      <c r="J1267" s="1" t="s">
        <v>113</v>
      </c>
      <c r="K1267">
        <v>1</v>
      </c>
      <c r="L1267">
        <v>0</v>
      </c>
      <c r="M1267" t="str">
        <f>IF(tblPenalties[[#This Row],[total_yards]]=0, "Declined", "Accepted")</f>
        <v>Accepted</v>
      </c>
    </row>
    <row r="1268" spans="1:13" x14ac:dyDescent="0.25">
      <c r="A1268" s="1" t="s">
        <v>163</v>
      </c>
      <c r="B1268" s="1" t="s">
        <v>52</v>
      </c>
      <c r="C1268" s="1" t="s">
        <v>117</v>
      </c>
      <c r="D1268">
        <v>4</v>
      </c>
      <c r="E1268">
        <v>45</v>
      </c>
      <c r="F1268">
        <v>11.25</v>
      </c>
      <c r="G1268">
        <v>18</v>
      </c>
      <c r="H1268">
        <v>17</v>
      </c>
      <c r="I1268">
        <v>18</v>
      </c>
      <c r="J1268" s="1" t="s">
        <v>118</v>
      </c>
      <c r="K1268">
        <v>1</v>
      </c>
      <c r="L1268">
        <v>0</v>
      </c>
      <c r="M1268" t="str">
        <f>IF(tblPenalties[[#This Row],[total_yards]]=0, "Declined", "Accepted")</f>
        <v>Accepted</v>
      </c>
    </row>
    <row r="1269" spans="1:13" x14ac:dyDescent="0.25">
      <c r="A1269" s="1" t="s">
        <v>163</v>
      </c>
      <c r="B1269" s="1" t="s">
        <v>52</v>
      </c>
      <c r="C1269" s="1" t="s">
        <v>23</v>
      </c>
      <c r="D1269">
        <v>2</v>
      </c>
      <c r="E1269">
        <v>0</v>
      </c>
      <c r="F1269">
        <v>0</v>
      </c>
      <c r="G1269">
        <v>18</v>
      </c>
      <c r="H1269">
        <v>17</v>
      </c>
      <c r="I1269">
        <v>18</v>
      </c>
      <c r="J1269" s="1" t="s">
        <v>15</v>
      </c>
      <c r="K1269">
        <v>0</v>
      </c>
      <c r="L1269">
        <v>1</v>
      </c>
      <c r="M1269" t="str">
        <f>IF(tblPenalties[[#This Row],[total_yards]]=0, "Declined", "Accepted")</f>
        <v>Declined</v>
      </c>
    </row>
    <row r="1270" spans="1:13" x14ac:dyDescent="0.25">
      <c r="A1270" s="1" t="s">
        <v>163</v>
      </c>
      <c r="B1270" s="1" t="s">
        <v>52</v>
      </c>
      <c r="C1270" s="1" t="s">
        <v>22</v>
      </c>
      <c r="D1270">
        <v>1</v>
      </c>
      <c r="E1270">
        <v>5</v>
      </c>
      <c r="F1270">
        <v>5</v>
      </c>
      <c r="G1270">
        <v>18</v>
      </c>
      <c r="H1270">
        <v>17</v>
      </c>
      <c r="I1270">
        <v>18</v>
      </c>
      <c r="J1270" s="1" t="s">
        <v>15</v>
      </c>
      <c r="K1270">
        <v>1</v>
      </c>
      <c r="L1270">
        <v>0</v>
      </c>
      <c r="M1270" t="str">
        <f>IF(tblPenalties[[#This Row],[total_yards]]=0, "Declined", "Accepted")</f>
        <v>Accepted</v>
      </c>
    </row>
    <row r="1271" spans="1:13" x14ac:dyDescent="0.25">
      <c r="A1271" s="1" t="s">
        <v>163</v>
      </c>
      <c r="B1271" s="1" t="s">
        <v>52</v>
      </c>
      <c r="C1271" s="1" t="s">
        <v>122</v>
      </c>
      <c r="D1271">
        <v>1</v>
      </c>
      <c r="E1271">
        <v>5</v>
      </c>
      <c r="F1271">
        <v>5</v>
      </c>
      <c r="G1271">
        <v>18</v>
      </c>
      <c r="H1271">
        <v>17</v>
      </c>
      <c r="I1271">
        <v>18</v>
      </c>
      <c r="J1271" s="1" t="s">
        <v>113</v>
      </c>
      <c r="K1271">
        <v>1</v>
      </c>
      <c r="L1271">
        <v>0</v>
      </c>
      <c r="M1271" t="str">
        <f>IF(tblPenalties[[#This Row],[total_yards]]=0, "Declined", "Accepted")</f>
        <v>Accepted</v>
      </c>
    </row>
    <row r="1272" spans="1:13" x14ac:dyDescent="0.25">
      <c r="A1272" s="1" t="s">
        <v>163</v>
      </c>
      <c r="B1272" s="1" t="s">
        <v>52</v>
      </c>
      <c r="C1272" s="1" t="s">
        <v>152</v>
      </c>
      <c r="D1272">
        <v>1</v>
      </c>
      <c r="E1272">
        <v>0</v>
      </c>
      <c r="F1272">
        <v>0</v>
      </c>
      <c r="G1272">
        <v>18</v>
      </c>
      <c r="H1272">
        <v>17</v>
      </c>
      <c r="I1272">
        <v>18</v>
      </c>
      <c r="J1272" s="1" t="s">
        <v>115</v>
      </c>
      <c r="K1272">
        <v>0</v>
      </c>
      <c r="L1272">
        <v>1</v>
      </c>
      <c r="M1272" t="str">
        <f>IF(tblPenalties[[#This Row],[total_yards]]=0, "Declined", "Accepted")</f>
        <v>Declined</v>
      </c>
    </row>
    <row r="1273" spans="1:13" x14ac:dyDescent="0.25">
      <c r="A1273" s="1" t="s">
        <v>163</v>
      </c>
      <c r="B1273" s="1" t="s">
        <v>52</v>
      </c>
      <c r="C1273" s="1" t="s">
        <v>114</v>
      </c>
      <c r="D1273">
        <v>1</v>
      </c>
      <c r="E1273">
        <v>3</v>
      </c>
      <c r="F1273">
        <v>3</v>
      </c>
      <c r="G1273">
        <v>18</v>
      </c>
      <c r="H1273">
        <v>17</v>
      </c>
      <c r="I1273">
        <v>18</v>
      </c>
      <c r="J1273" s="1" t="s">
        <v>115</v>
      </c>
      <c r="K1273">
        <v>1</v>
      </c>
      <c r="L1273">
        <v>0</v>
      </c>
      <c r="M1273" t="str">
        <f>IF(tblPenalties[[#This Row],[total_yards]]=0, "Declined", "Accepted")</f>
        <v>Accepted</v>
      </c>
    </row>
    <row r="1274" spans="1:13" x14ac:dyDescent="0.25">
      <c r="A1274" s="1" t="s">
        <v>164</v>
      </c>
      <c r="B1274" s="1" t="s">
        <v>100</v>
      </c>
      <c r="C1274" s="1" t="s">
        <v>117</v>
      </c>
      <c r="D1274">
        <v>10</v>
      </c>
      <c r="E1274">
        <v>159</v>
      </c>
      <c r="F1274">
        <v>15.9</v>
      </c>
      <c r="G1274">
        <v>9</v>
      </c>
      <c r="H1274">
        <v>9</v>
      </c>
      <c r="I1274">
        <v>9</v>
      </c>
      <c r="J1274" s="1" t="s">
        <v>118</v>
      </c>
      <c r="K1274">
        <v>1</v>
      </c>
      <c r="L1274">
        <v>0</v>
      </c>
      <c r="M1274" t="str">
        <f>IF(tblPenalties[[#This Row],[total_yards]]=0, "Declined", "Accepted")</f>
        <v>Accepted</v>
      </c>
    </row>
    <row r="1275" spans="1:13" x14ac:dyDescent="0.25">
      <c r="A1275" s="1" t="s">
        <v>164</v>
      </c>
      <c r="B1275" s="1" t="s">
        <v>100</v>
      </c>
      <c r="C1275" s="1" t="s">
        <v>14</v>
      </c>
      <c r="D1275">
        <v>9</v>
      </c>
      <c r="E1275">
        <v>40</v>
      </c>
      <c r="F1275">
        <v>4.4400000000000004</v>
      </c>
      <c r="G1275">
        <v>9</v>
      </c>
      <c r="H1275">
        <v>9</v>
      </c>
      <c r="I1275">
        <v>9</v>
      </c>
      <c r="J1275" s="1" t="s">
        <v>15</v>
      </c>
      <c r="K1275">
        <v>1</v>
      </c>
      <c r="L1275">
        <v>0</v>
      </c>
      <c r="M1275" t="str">
        <f>IF(tblPenalties[[#This Row],[total_yards]]=0, "Declined", "Accepted")</f>
        <v>Accepted</v>
      </c>
    </row>
    <row r="1276" spans="1:13" x14ac:dyDescent="0.25">
      <c r="A1276" s="1" t="s">
        <v>164</v>
      </c>
      <c r="B1276" s="1" t="s">
        <v>100</v>
      </c>
      <c r="C1276" s="1" t="s">
        <v>129</v>
      </c>
      <c r="D1276">
        <v>8</v>
      </c>
      <c r="E1276">
        <v>80</v>
      </c>
      <c r="F1276">
        <v>10</v>
      </c>
      <c r="G1276">
        <v>9</v>
      </c>
      <c r="H1276">
        <v>9</v>
      </c>
      <c r="I1276">
        <v>9</v>
      </c>
      <c r="J1276" s="1" t="s">
        <v>130</v>
      </c>
      <c r="K1276">
        <v>1</v>
      </c>
      <c r="L1276">
        <v>0</v>
      </c>
      <c r="M1276" t="str">
        <f>IF(tblPenalties[[#This Row],[total_yards]]=0, "Declined", "Accepted")</f>
        <v>Accepted</v>
      </c>
    </row>
    <row r="1277" spans="1:13" x14ac:dyDescent="0.25">
      <c r="A1277" s="1" t="s">
        <v>164</v>
      </c>
      <c r="B1277" s="1" t="s">
        <v>100</v>
      </c>
      <c r="C1277" s="1" t="s">
        <v>112</v>
      </c>
      <c r="D1277">
        <v>8</v>
      </c>
      <c r="E1277">
        <v>54</v>
      </c>
      <c r="F1277">
        <v>6.75</v>
      </c>
      <c r="G1277">
        <v>9</v>
      </c>
      <c r="H1277">
        <v>9</v>
      </c>
      <c r="I1277">
        <v>9</v>
      </c>
      <c r="J1277" s="1" t="s">
        <v>113</v>
      </c>
      <c r="K1277">
        <v>1</v>
      </c>
      <c r="L1277">
        <v>0</v>
      </c>
      <c r="M1277" t="str">
        <f>IF(tblPenalties[[#This Row],[total_yards]]=0, "Declined", "Accepted")</f>
        <v>Accepted</v>
      </c>
    </row>
    <row r="1278" spans="1:13" x14ac:dyDescent="0.25">
      <c r="A1278" s="1" t="s">
        <v>164</v>
      </c>
      <c r="B1278" s="1" t="s">
        <v>100</v>
      </c>
      <c r="C1278" s="1" t="s">
        <v>115</v>
      </c>
      <c r="D1278">
        <v>3</v>
      </c>
      <c r="E1278">
        <v>30</v>
      </c>
      <c r="F1278">
        <v>10</v>
      </c>
      <c r="G1278">
        <v>9</v>
      </c>
      <c r="H1278">
        <v>9</v>
      </c>
      <c r="I1278">
        <v>9</v>
      </c>
      <c r="J1278" s="1" t="s">
        <v>115</v>
      </c>
      <c r="K1278">
        <v>1</v>
      </c>
      <c r="L1278">
        <v>0</v>
      </c>
      <c r="M1278" t="str">
        <f>IF(tblPenalties[[#This Row],[total_yards]]=0, "Declined", "Accepted")</f>
        <v>Accepted</v>
      </c>
    </row>
    <row r="1279" spans="1:13" x14ac:dyDescent="0.25">
      <c r="A1279" s="1" t="s">
        <v>164</v>
      </c>
      <c r="B1279" s="1" t="s">
        <v>100</v>
      </c>
      <c r="C1279" s="1" t="s">
        <v>128</v>
      </c>
      <c r="D1279">
        <v>3</v>
      </c>
      <c r="E1279">
        <v>43</v>
      </c>
      <c r="F1279">
        <v>14.33</v>
      </c>
      <c r="G1279">
        <v>9</v>
      </c>
      <c r="H1279">
        <v>9</v>
      </c>
      <c r="I1279">
        <v>9</v>
      </c>
      <c r="J1279" s="1" t="s">
        <v>115</v>
      </c>
      <c r="K1279">
        <v>1</v>
      </c>
      <c r="L1279">
        <v>0</v>
      </c>
      <c r="M1279" t="str">
        <f>IF(tblPenalties[[#This Row],[total_yards]]=0, "Declined", "Accepted")</f>
        <v>Accepted</v>
      </c>
    </row>
    <row r="1280" spans="1:13" x14ac:dyDescent="0.25">
      <c r="A1280" s="1" t="s">
        <v>164</v>
      </c>
      <c r="B1280" s="1" t="s">
        <v>100</v>
      </c>
      <c r="C1280" s="1" t="s">
        <v>31</v>
      </c>
      <c r="D1280">
        <v>2</v>
      </c>
      <c r="E1280">
        <v>14</v>
      </c>
      <c r="F1280">
        <v>7</v>
      </c>
      <c r="G1280">
        <v>9</v>
      </c>
      <c r="H1280">
        <v>9</v>
      </c>
      <c r="I1280">
        <v>9</v>
      </c>
      <c r="J1280" s="1" t="s">
        <v>15</v>
      </c>
      <c r="K1280">
        <v>1</v>
      </c>
      <c r="L1280">
        <v>0</v>
      </c>
      <c r="M1280" t="str">
        <f>IF(tblPenalties[[#This Row],[total_yards]]=0, "Declined", "Accepted")</f>
        <v>Accepted</v>
      </c>
    </row>
    <row r="1281" spans="1:13" x14ac:dyDescent="0.25">
      <c r="A1281" s="1" t="s">
        <v>164</v>
      </c>
      <c r="B1281" s="1" t="s">
        <v>100</v>
      </c>
      <c r="C1281" s="1" t="s">
        <v>22</v>
      </c>
      <c r="D1281">
        <v>1</v>
      </c>
      <c r="E1281">
        <v>5</v>
      </c>
      <c r="F1281">
        <v>5</v>
      </c>
      <c r="G1281">
        <v>9</v>
      </c>
      <c r="H1281">
        <v>9</v>
      </c>
      <c r="I1281">
        <v>9</v>
      </c>
      <c r="J1281" s="1" t="s">
        <v>15</v>
      </c>
      <c r="K1281">
        <v>1</v>
      </c>
      <c r="L1281">
        <v>0</v>
      </c>
      <c r="M1281" t="str">
        <f>IF(tblPenalties[[#This Row],[total_yards]]=0, "Declined", "Accepted")</f>
        <v>Accepted</v>
      </c>
    </row>
    <row r="1282" spans="1:13" x14ac:dyDescent="0.25">
      <c r="A1282" s="1" t="s">
        <v>164</v>
      </c>
      <c r="B1282" s="1" t="s">
        <v>100</v>
      </c>
      <c r="C1282" s="1" t="s">
        <v>122</v>
      </c>
      <c r="D1282">
        <v>1</v>
      </c>
      <c r="E1282">
        <v>8</v>
      </c>
      <c r="F1282">
        <v>8</v>
      </c>
      <c r="G1282">
        <v>9</v>
      </c>
      <c r="H1282">
        <v>9</v>
      </c>
      <c r="I1282">
        <v>9</v>
      </c>
      <c r="J1282" s="1" t="s">
        <v>113</v>
      </c>
      <c r="K1282">
        <v>1</v>
      </c>
      <c r="L1282">
        <v>0</v>
      </c>
      <c r="M1282" t="str">
        <f>IF(tblPenalties[[#This Row],[total_yards]]=0, "Declined", "Accepted")</f>
        <v>Accepted</v>
      </c>
    </row>
    <row r="1283" spans="1:13" x14ac:dyDescent="0.25">
      <c r="A1283" s="1" t="s">
        <v>165</v>
      </c>
      <c r="B1283" s="1" t="s">
        <v>52</v>
      </c>
      <c r="C1283" s="1" t="s">
        <v>14</v>
      </c>
      <c r="D1283">
        <v>8</v>
      </c>
      <c r="E1283">
        <v>40</v>
      </c>
      <c r="F1283">
        <v>5</v>
      </c>
      <c r="G1283">
        <v>1</v>
      </c>
      <c r="H1283">
        <v>1</v>
      </c>
      <c r="I1283">
        <v>1</v>
      </c>
      <c r="J1283" s="1" t="s">
        <v>15</v>
      </c>
      <c r="K1283">
        <v>1</v>
      </c>
      <c r="L1283">
        <v>0</v>
      </c>
      <c r="M1283" t="str">
        <f>IF(tblPenalties[[#This Row],[total_yards]]=0, "Declined", "Accepted")</f>
        <v>Accepted</v>
      </c>
    </row>
    <row r="1284" spans="1:13" x14ac:dyDescent="0.25">
      <c r="A1284" s="1" t="s">
        <v>165</v>
      </c>
      <c r="B1284" s="1" t="s">
        <v>52</v>
      </c>
      <c r="C1284" s="1" t="s">
        <v>129</v>
      </c>
      <c r="D1284">
        <v>6</v>
      </c>
      <c r="E1284">
        <v>30</v>
      </c>
      <c r="F1284">
        <v>5</v>
      </c>
      <c r="G1284">
        <v>1</v>
      </c>
      <c r="H1284">
        <v>1</v>
      </c>
      <c r="I1284">
        <v>1</v>
      </c>
      <c r="J1284" s="1" t="s">
        <v>130</v>
      </c>
      <c r="K1284">
        <v>1</v>
      </c>
      <c r="L1284">
        <v>0</v>
      </c>
      <c r="M1284" t="str">
        <f>IF(tblPenalties[[#This Row],[total_yards]]=0, "Declined", "Accepted")</f>
        <v>Accepted</v>
      </c>
    </row>
    <row r="1285" spans="1:13" x14ac:dyDescent="0.25">
      <c r="A1285" s="1" t="s">
        <v>165</v>
      </c>
      <c r="B1285" s="1" t="s">
        <v>52</v>
      </c>
      <c r="C1285" s="1" t="s">
        <v>31</v>
      </c>
      <c r="D1285">
        <v>4</v>
      </c>
      <c r="E1285">
        <v>5</v>
      </c>
      <c r="F1285">
        <v>1.25</v>
      </c>
      <c r="G1285">
        <v>1</v>
      </c>
      <c r="H1285">
        <v>1</v>
      </c>
      <c r="I1285">
        <v>1</v>
      </c>
      <c r="J1285" s="1" t="s">
        <v>15</v>
      </c>
      <c r="K1285">
        <v>1</v>
      </c>
      <c r="L1285">
        <v>0</v>
      </c>
      <c r="M1285" t="str">
        <f>IF(tblPenalties[[#This Row],[total_yards]]=0, "Declined", "Accepted")</f>
        <v>Accepted</v>
      </c>
    </row>
    <row r="1286" spans="1:13" x14ac:dyDescent="0.25">
      <c r="A1286" s="1" t="s">
        <v>165</v>
      </c>
      <c r="B1286" s="1" t="s">
        <v>52</v>
      </c>
      <c r="C1286" s="1" t="s">
        <v>112</v>
      </c>
      <c r="D1286">
        <v>4</v>
      </c>
      <c r="E1286">
        <v>128</v>
      </c>
      <c r="F1286">
        <v>32</v>
      </c>
      <c r="G1286">
        <v>1</v>
      </c>
      <c r="H1286">
        <v>1</v>
      </c>
      <c r="I1286">
        <v>1</v>
      </c>
      <c r="J1286" s="1" t="s">
        <v>113</v>
      </c>
      <c r="K1286">
        <v>1</v>
      </c>
      <c r="L1286">
        <v>0</v>
      </c>
      <c r="M1286" t="str">
        <f>IF(tblPenalties[[#This Row],[total_yards]]=0, "Declined", "Accepted")</f>
        <v>Accepted</v>
      </c>
    </row>
    <row r="1287" spans="1:13" x14ac:dyDescent="0.25">
      <c r="A1287" s="1" t="s">
        <v>165</v>
      </c>
      <c r="B1287" s="1" t="s">
        <v>52</v>
      </c>
      <c r="C1287" s="1" t="s">
        <v>22</v>
      </c>
      <c r="D1287">
        <v>3</v>
      </c>
      <c r="E1287">
        <v>15</v>
      </c>
      <c r="F1287">
        <v>5</v>
      </c>
      <c r="G1287">
        <v>1</v>
      </c>
      <c r="H1287">
        <v>1</v>
      </c>
      <c r="I1287">
        <v>1</v>
      </c>
      <c r="J1287" s="1" t="s">
        <v>15</v>
      </c>
      <c r="K1287">
        <v>1</v>
      </c>
      <c r="L1287">
        <v>0</v>
      </c>
      <c r="M1287" t="str">
        <f>IF(tblPenalties[[#This Row],[total_yards]]=0, "Declined", "Accepted")</f>
        <v>Accepted</v>
      </c>
    </row>
    <row r="1288" spans="1:13" x14ac:dyDescent="0.25">
      <c r="A1288" s="1" t="s">
        <v>165</v>
      </c>
      <c r="B1288" s="1" t="s">
        <v>52</v>
      </c>
      <c r="C1288" s="1" t="s">
        <v>122</v>
      </c>
      <c r="D1288">
        <v>2</v>
      </c>
      <c r="E1288">
        <v>30</v>
      </c>
      <c r="F1288">
        <v>15</v>
      </c>
      <c r="G1288">
        <v>1</v>
      </c>
      <c r="H1288">
        <v>1</v>
      </c>
      <c r="I1288">
        <v>1</v>
      </c>
      <c r="J1288" s="1" t="s">
        <v>113</v>
      </c>
      <c r="K1288">
        <v>1</v>
      </c>
      <c r="L1288">
        <v>0</v>
      </c>
      <c r="M1288" t="str">
        <f>IF(tblPenalties[[#This Row],[total_yards]]=0, "Declined", "Accepted")</f>
        <v>Accepted</v>
      </c>
    </row>
    <row r="1289" spans="1:13" x14ac:dyDescent="0.25">
      <c r="A1289" s="1" t="s">
        <v>165</v>
      </c>
      <c r="B1289" s="1" t="s">
        <v>52</v>
      </c>
      <c r="C1289" s="1" t="s">
        <v>23</v>
      </c>
      <c r="D1289">
        <v>2</v>
      </c>
      <c r="E1289">
        <v>13</v>
      </c>
      <c r="F1289">
        <v>6.5</v>
      </c>
      <c r="G1289">
        <v>1</v>
      </c>
      <c r="H1289">
        <v>1</v>
      </c>
      <c r="I1289">
        <v>1</v>
      </c>
      <c r="J1289" s="1" t="s">
        <v>15</v>
      </c>
      <c r="K1289">
        <v>1</v>
      </c>
      <c r="L1289">
        <v>0</v>
      </c>
      <c r="M1289" t="str">
        <f>IF(tblPenalties[[#This Row],[total_yards]]=0, "Declined", "Accepted")</f>
        <v>Accepted</v>
      </c>
    </row>
    <row r="1290" spans="1:13" x14ac:dyDescent="0.25">
      <c r="A1290" s="1" t="s">
        <v>165</v>
      </c>
      <c r="B1290" s="1" t="s">
        <v>52</v>
      </c>
      <c r="C1290" s="1" t="s">
        <v>117</v>
      </c>
      <c r="D1290">
        <v>2</v>
      </c>
      <c r="E1290">
        <v>23</v>
      </c>
      <c r="F1290">
        <v>11.5</v>
      </c>
      <c r="G1290">
        <v>1</v>
      </c>
      <c r="H1290">
        <v>1</v>
      </c>
      <c r="I1290">
        <v>1</v>
      </c>
      <c r="J1290" s="1" t="s">
        <v>118</v>
      </c>
      <c r="K1290">
        <v>1</v>
      </c>
      <c r="L1290">
        <v>0</v>
      </c>
      <c r="M1290" t="str">
        <f>IF(tblPenalties[[#This Row],[total_yards]]=0, "Declined", "Accepted")</f>
        <v>Accepted</v>
      </c>
    </row>
    <row r="1291" spans="1:13" x14ac:dyDescent="0.25">
      <c r="A1291" s="1" t="s">
        <v>165</v>
      </c>
      <c r="B1291" s="1" t="s">
        <v>52</v>
      </c>
      <c r="C1291" s="1" t="s">
        <v>115</v>
      </c>
      <c r="D1291">
        <v>2</v>
      </c>
      <c r="E1291">
        <v>15</v>
      </c>
      <c r="F1291">
        <v>7.5</v>
      </c>
      <c r="G1291">
        <v>1</v>
      </c>
      <c r="H1291">
        <v>1</v>
      </c>
      <c r="I1291">
        <v>1</v>
      </c>
      <c r="J1291" s="1" t="s">
        <v>115</v>
      </c>
      <c r="K1291">
        <v>1</v>
      </c>
      <c r="L1291">
        <v>0</v>
      </c>
      <c r="M1291" t="str">
        <f>IF(tblPenalties[[#This Row],[total_yards]]=0, "Declined", "Accepted")</f>
        <v>Accepted</v>
      </c>
    </row>
    <row r="1292" spans="1:13" x14ac:dyDescent="0.25">
      <c r="A1292" s="1" t="s">
        <v>165</v>
      </c>
      <c r="B1292" s="1" t="s">
        <v>52</v>
      </c>
      <c r="C1292" s="1" t="s">
        <v>128</v>
      </c>
      <c r="D1292">
        <v>2</v>
      </c>
      <c r="E1292">
        <v>30</v>
      </c>
      <c r="F1292">
        <v>15</v>
      </c>
      <c r="G1292">
        <v>1</v>
      </c>
      <c r="H1292">
        <v>1</v>
      </c>
      <c r="I1292">
        <v>1</v>
      </c>
      <c r="J1292" s="1" t="s">
        <v>115</v>
      </c>
      <c r="K1292">
        <v>1</v>
      </c>
      <c r="L1292">
        <v>0</v>
      </c>
      <c r="M1292" t="str">
        <f>IF(tblPenalties[[#This Row],[total_yards]]=0, "Declined", "Accepted")</f>
        <v>Accepted</v>
      </c>
    </row>
    <row r="1293" spans="1:13" x14ac:dyDescent="0.25">
      <c r="A1293" s="1" t="s">
        <v>165</v>
      </c>
      <c r="B1293" s="1" t="s">
        <v>52</v>
      </c>
      <c r="C1293" s="1" t="s">
        <v>114</v>
      </c>
      <c r="D1293">
        <v>2</v>
      </c>
      <c r="E1293">
        <v>0</v>
      </c>
      <c r="F1293">
        <v>0</v>
      </c>
      <c r="G1293">
        <v>1</v>
      </c>
      <c r="H1293">
        <v>1</v>
      </c>
      <c r="I1293">
        <v>1</v>
      </c>
      <c r="J1293" s="1" t="s">
        <v>115</v>
      </c>
      <c r="K1293">
        <v>0</v>
      </c>
      <c r="L1293">
        <v>1</v>
      </c>
      <c r="M1293" t="str">
        <f>IF(tblPenalties[[#This Row],[total_yards]]=0, "Declined", "Accepted")</f>
        <v>Declined</v>
      </c>
    </row>
    <row r="1294" spans="1:13" x14ac:dyDescent="0.25">
      <c r="A1294" s="1" t="s">
        <v>166</v>
      </c>
      <c r="B1294" s="1" t="s">
        <v>19</v>
      </c>
      <c r="C1294" s="1" t="s">
        <v>129</v>
      </c>
      <c r="D1294">
        <v>14</v>
      </c>
      <c r="E1294">
        <v>70</v>
      </c>
      <c r="F1294">
        <v>5</v>
      </c>
      <c r="G1294">
        <v>11</v>
      </c>
      <c r="H1294">
        <v>10</v>
      </c>
      <c r="I1294">
        <v>11</v>
      </c>
      <c r="J1294" s="1" t="s">
        <v>130</v>
      </c>
      <c r="K1294">
        <v>1</v>
      </c>
      <c r="L1294">
        <v>0</v>
      </c>
      <c r="M1294" t="str">
        <f>IF(tblPenalties[[#This Row],[total_yards]]=0, "Declined", "Accepted")</f>
        <v>Accepted</v>
      </c>
    </row>
    <row r="1295" spans="1:13" x14ac:dyDescent="0.25">
      <c r="A1295" s="1" t="s">
        <v>166</v>
      </c>
      <c r="B1295" s="1" t="s">
        <v>19</v>
      </c>
      <c r="C1295" s="1" t="s">
        <v>14</v>
      </c>
      <c r="D1295">
        <v>11</v>
      </c>
      <c r="E1295">
        <v>35</v>
      </c>
      <c r="F1295">
        <v>3.18</v>
      </c>
      <c r="G1295">
        <v>11</v>
      </c>
      <c r="H1295">
        <v>10</v>
      </c>
      <c r="I1295">
        <v>11</v>
      </c>
      <c r="J1295" s="1" t="s">
        <v>15</v>
      </c>
      <c r="K1295">
        <v>1</v>
      </c>
      <c r="L1295">
        <v>0</v>
      </c>
      <c r="M1295" t="str">
        <f>IF(tblPenalties[[#This Row],[total_yards]]=0, "Declined", "Accepted")</f>
        <v>Accepted</v>
      </c>
    </row>
    <row r="1296" spans="1:13" x14ac:dyDescent="0.25">
      <c r="A1296" s="1" t="s">
        <v>166</v>
      </c>
      <c r="B1296" s="1" t="s">
        <v>19</v>
      </c>
      <c r="C1296" s="1" t="s">
        <v>112</v>
      </c>
      <c r="D1296">
        <v>6</v>
      </c>
      <c r="E1296">
        <v>25</v>
      </c>
      <c r="F1296">
        <v>4.17</v>
      </c>
      <c r="G1296">
        <v>11</v>
      </c>
      <c r="H1296">
        <v>10</v>
      </c>
      <c r="I1296">
        <v>11</v>
      </c>
      <c r="J1296" s="1" t="s">
        <v>113</v>
      </c>
      <c r="K1296">
        <v>1</v>
      </c>
      <c r="L1296">
        <v>0</v>
      </c>
      <c r="M1296" t="str">
        <f>IF(tblPenalties[[#This Row],[total_yards]]=0, "Declined", "Accepted")</f>
        <v>Accepted</v>
      </c>
    </row>
    <row r="1297" spans="1:13" x14ac:dyDescent="0.25">
      <c r="A1297" s="1" t="s">
        <v>166</v>
      </c>
      <c r="B1297" s="1" t="s">
        <v>19</v>
      </c>
      <c r="C1297" s="1" t="s">
        <v>117</v>
      </c>
      <c r="D1297">
        <v>6</v>
      </c>
      <c r="E1297">
        <v>48</v>
      </c>
      <c r="F1297">
        <v>8</v>
      </c>
      <c r="G1297">
        <v>11</v>
      </c>
      <c r="H1297">
        <v>10</v>
      </c>
      <c r="I1297">
        <v>11</v>
      </c>
      <c r="J1297" s="1" t="s">
        <v>118</v>
      </c>
      <c r="K1297">
        <v>1</v>
      </c>
      <c r="L1297">
        <v>0</v>
      </c>
      <c r="M1297" t="str">
        <f>IF(tblPenalties[[#This Row],[total_yards]]=0, "Declined", "Accepted")</f>
        <v>Accepted</v>
      </c>
    </row>
    <row r="1298" spans="1:13" x14ac:dyDescent="0.25">
      <c r="A1298" s="1" t="s">
        <v>166</v>
      </c>
      <c r="B1298" s="1" t="s">
        <v>19</v>
      </c>
      <c r="C1298" s="1" t="s">
        <v>115</v>
      </c>
      <c r="D1298">
        <v>4</v>
      </c>
      <c r="E1298">
        <v>33</v>
      </c>
      <c r="F1298">
        <v>8.25</v>
      </c>
      <c r="G1298">
        <v>11</v>
      </c>
      <c r="H1298">
        <v>10</v>
      </c>
      <c r="I1298">
        <v>11</v>
      </c>
      <c r="J1298" s="1" t="s">
        <v>115</v>
      </c>
      <c r="K1298">
        <v>1</v>
      </c>
      <c r="L1298">
        <v>0</v>
      </c>
      <c r="M1298" t="str">
        <f>IF(tblPenalties[[#This Row],[total_yards]]=0, "Declined", "Accepted")</f>
        <v>Accepted</v>
      </c>
    </row>
    <row r="1299" spans="1:13" x14ac:dyDescent="0.25">
      <c r="A1299" s="1" t="s">
        <v>166</v>
      </c>
      <c r="B1299" s="1" t="s">
        <v>19</v>
      </c>
      <c r="C1299" s="1" t="s">
        <v>22</v>
      </c>
      <c r="D1299">
        <v>3</v>
      </c>
      <c r="E1299">
        <v>15</v>
      </c>
      <c r="F1299">
        <v>5</v>
      </c>
      <c r="G1299">
        <v>11</v>
      </c>
      <c r="H1299">
        <v>10</v>
      </c>
      <c r="I1299">
        <v>11</v>
      </c>
      <c r="J1299" s="1" t="s">
        <v>15</v>
      </c>
      <c r="K1299">
        <v>1</v>
      </c>
      <c r="L1299">
        <v>0</v>
      </c>
      <c r="M1299" t="str">
        <f>IF(tblPenalties[[#This Row],[total_yards]]=0, "Declined", "Accepted")</f>
        <v>Accepted</v>
      </c>
    </row>
    <row r="1300" spans="1:13" x14ac:dyDescent="0.25">
      <c r="A1300" s="1" t="s">
        <v>166</v>
      </c>
      <c r="B1300" s="1" t="s">
        <v>19</v>
      </c>
      <c r="C1300" s="1" t="s">
        <v>23</v>
      </c>
      <c r="D1300">
        <v>3</v>
      </c>
      <c r="E1300">
        <v>10</v>
      </c>
      <c r="F1300">
        <v>3.33</v>
      </c>
      <c r="G1300">
        <v>11</v>
      </c>
      <c r="H1300">
        <v>10</v>
      </c>
      <c r="I1300">
        <v>11</v>
      </c>
      <c r="J1300" s="1" t="s">
        <v>15</v>
      </c>
      <c r="K1300">
        <v>1</v>
      </c>
      <c r="L1300">
        <v>0</v>
      </c>
      <c r="M1300" t="str">
        <f>IF(tblPenalties[[#This Row],[total_yards]]=0, "Declined", "Accepted")</f>
        <v>Accepted</v>
      </c>
    </row>
    <row r="1301" spans="1:13" x14ac:dyDescent="0.25">
      <c r="A1301" s="1" t="s">
        <v>166</v>
      </c>
      <c r="B1301" s="1" t="s">
        <v>19</v>
      </c>
      <c r="C1301" s="1" t="s">
        <v>122</v>
      </c>
      <c r="D1301">
        <v>2</v>
      </c>
      <c r="E1301">
        <v>24</v>
      </c>
      <c r="F1301">
        <v>12</v>
      </c>
      <c r="G1301">
        <v>11</v>
      </c>
      <c r="H1301">
        <v>10</v>
      </c>
      <c r="I1301">
        <v>11</v>
      </c>
      <c r="J1301" s="1" t="s">
        <v>113</v>
      </c>
      <c r="K1301">
        <v>1</v>
      </c>
      <c r="L1301">
        <v>0</v>
      </c>
      <c r="M1301" t="str">
        <f>IF(tblPenalties[[#This Row],[total_yards]]=0, "Declined", "Accepted")</f>
        <v>Accepted</v>
      </c>
    </row>
    <row r="1302" spans="1:13" x14ac:dyDescent="0.25">
      <c r="A1302" s="1" t="s">
        <v>166</v>
      </c>
      <c r="B1302" s="1" t="s">
        <v>19</v>
      </c>
      <c r="C1302" s="1" t="s">
        <v>31</v>
      </c>
      <c r="D1302">
        <v>1</v>
      </c>
      <c r="E1302">
        <v>0</v>
      </c>
      <c r="F1302">
        <v>0</v>
      </c>
      <c r="G1302">
        <v>11</v>
      </c>
      <c r="H1302">
        <v>10</v>
      </c>
      <c r="I1302">
        <v>11</v>
      </c>
      <c r="J1302" s="1" t="s">
        <v>15</v>
      </c>
      <c r="K1302">
        <v>0</v>
      </c>
      <c r="L1302">
        <v>1</v>
      </c>
      <c r="M1302" t="str">
        <f>IF(tblPenalties[[#This Row],[total_yards]]=0, "Declined", "Accepted")</f>
        <v>Declined</v>
      </c>
    </row>
    <row r="1303" spans="1:13" x14ac:dyDescent="0.25">
      <c r="A1303" s="1" t="s">
        <v>166</v>
      </c>
      <c r="B1303" s="1" t="s">
        <v>19</v>
      </c>
      <c r="C1303" s="1" t="s">
        <v>128</v>
      </c>
      <c r="D1303">
        <v>1</v>
      </c>
      <c r="E1303">
        <v>0</v>
      </c>
      <c r="F1303">
        <v>0</v>
      </c>
      <c r="G1303">
        <v>11</v>
      </c>
      <c r="H1303">
        <v>10</v>
      </c>
      <c r="I1303">
        <v>11</v>
      </c>
      <c r="J1303" s="1" t="s">
        <v>115</v>
      </c>
      <c r="K1303">
        <v>0</v>
      </c>
      <c r="L1303">
        <v>1</v>
      </c>
      <c r="M1303" t="str">
        <f>IF(tblPenalties[[#This Row],[total_yards]]=0, "Declined", "Accepted")</f>
        <v>Declined</v>
      </c>
    </row>
    <row r="1304" spans="1:13" x14ac:dyDescent="0.25">
      <c r="A1304" s="1" t="s">
        <v>167</v>
      </c>
      <c r="B1304" s="1" t="s">
        <v>19</v>
      </c>
      <c r="C1304" s="1" t="s">
        <v>129</v>
      </c>
      <c r="D1304">
        <v>19</v>
      </c>
      <c r="E1304">
        <v>164</v>
      </c>
      <c r="F1304">
        <v>8.6300000000000008</v>
      </c>
      <c r="G1304">
        <v>6</v>
      </c>
      <c r="H1304">
        <v>7</v>
      </c>
      <c r="I1304">
        <v>7</v>
      </c>
      <c r="J1304" s="1" t="s">
        <v>130</v>
      </c>
      <c r="K1304">
        <v>1</v>
      </c>
      <c r="L1304">
        <v>0</v>
      </c>
      <c r="M1304" t="str">
        <f>IF(tblPenalties[[#This Row],[total_yards]]=0, "Declined", "Accepted")</f>
        <v>Accepted</v>
      </c>
    </row>
    <row r="1305" spans="1:13" x14ac:dyDescent="0.25">
      <c r="A1305" s="1" t="s">
        <v>167</v>
      </c>
      <c r="B1305" s="1" t="s">
        <v>19</v>
      </c>
      <c r="C1305" s="1" t="s">
        <v>14</v>
      </c>
      <c r="D1305">
        <v>10</v>
      </c>
      <c r="E1305">
        <v>19</v>
      </c>
      <c r="F1305">
        <v>1.9</v>
      </c>
      <c r="G1305">
        <v>6</v>
      </c>
      <c r="H1305">
        <v>7</v>
      </c>
      <c r="I1305">
        <v>7</v>
      </c>
      <c r="J1305" s="1" t="s">
        <v>15</v>
      </c>
      <c r="K1305">
        <v>1</v>
      </c>
      <c r="L1305">
        <v>0</v>
      </c>
      <c r="M1305" t="str">
        <f>IF(tblPenalties[[#This Row],[total_yards]]=0, "Declined", "Accepted")</f>
        <v>Accepted</v>
      </c>
    </row>
    <row r="1306" spans="1:13" x14ac:dyDescent="0.25">
      <c r="A1306" s="1" t="s">
        <v>167</v>
      </c>
      <c r="B1306" s="1" t="s">
        <v>19</v>
      </c>
      <c r="C1306" s="1" t="s">
        <v>112</v>
      </c>
      <c r="D1306">
        <v>8</v>
      </c>
      <c r="E1306">
        <v>50</v>
      </c>
      <c r="F1306">
        <v>6.25</v>
      </c>
      <c r="G1306">
        <v>6</v>
      </c>
      <c r="H1306">
        <v>7</v>
      </c>
      <c r="I1306">
        <v>7</v>
      </c>
      <c r="J1306" s="1" t="s">
        <v>113</v>
      </c>
      <c r="K1306">
        <v>1</v>
      </c>
      <c r="L1306">
        <v>0</v>
      </c>
      <c r="M1306" t="str">
        <f>IF(tblPenalties[[#This Row],[total_yards]]=0, "Declined", "Accepted")</f>
        <v>Accepted</v>
      </c>
    </row>
    <row r="1307" spans="1:13" x14ac:dyDescent="0.25">
      <c r="A1307" s="1" t="s">
        <v>167</v>
      </c>
      <c r="B1307" s="1" t="s">
        <v>19</v>
      </c>
      <c r="C1307" s="1" t="s">
        <v>117</v>
      </c>
      <c r="D1307">
        <v>7</v>
      </c>
      <c r="E1307">
        <v>139</v>
      </c>
      <c r="F1307">
        <v>19.86</v>
      </c>
      <c r="G1307">
        <v>6</v>
      </c>
      <c r="H1307">
        <v>7</v>
      </c>
      <c r="I1307">
        <v>7</v>
      </c>
      <c r="J1307" s="1" t="s">
        <v>118</v>
      </c>
      <c r="K1307">
        <v>1</v>
      </c>
      <c r="L1307">
        <v>0</v>
      </c>
      <c r="M1307" t="str">
        <f>IF(tblPenalties[[#This Row],[total_yards]]=0, "Declined", "Accepted")</f>
        <v>Accepted</v>
      </c>
    </row>
    <row r="1308" spans="1:13" x14ac:dyDescent="0.25">
      <c r="A1308" s="1" t="s">
        <v>167</v>
      </c>
      <c r="B1308" s="1" t="s">
        <v>19</v>
      </c>
      <c r="C1308" s="1" t="s">
        <v>22</v>
      </c>
      <c r="D1308">
        <v>4</v>
      </c>
      <c r="E1308">
        <v>20</v>
      </c>
      <c r="F1308">
        <v>5</v>
      </c>
      <c r="G1308">
        <v>6</v>
      </c>
      <c r="H1308">
        <v>7</v>
      </c>
      <c r="I1308">
        <v>7</v>
      </c>
      <c r="J1308" s="1" t="s">
        <v>15</v>
      </c>
      <c r="K1308">
        <v>1</v>
      </c>
      <c r="L1308">
        <v>0</v>
      </c>
      <c r="M1308" t="str">
        <f>IF(tblPenalties[[#This Row],[total_yards]]=0, "Declined", "Accepted")</f>
        <v>Accepted</v>
      </c>
    </row>
    <row r="1309" spans="1:13" x14ac:dyDescent="0.25">
      <c r="A1309" s="1" t="s">
        <v>167</v>
      </c>
      <c r="B1309" s="1" t="s">
        <v>19</v>
      </c>
      <c r="C1309" s="1" t="s">
        <v>31</v>
      </c>
      <c r="D1309">
        <v>4</v>
      </c>
      <c r="E1309">
        <v>9</v>
      </c>
      <c r="F1309">
        <v>2.25</v>
      </c>
      <c r="G1309">
        <v>6</v>
      </c>
      <c r="H1309">
        <v>7</v>
      </c>
      <c r="I1309">
        <v>7</v>
      </c>
      <c r="J1309" s="1" t="s">
        <v>15</v>
      </c>
      <c r="K1309">
        <v>1</v>
      </c>
      <c r="L1309">
        <v>0</v>
      </c>
      <c r="M1309" t="str">
        <f>IF(tblPenalties[[#This Row],[total_yards]]=0, "Declined", "Accepted")</f>
        <v>Accepted</v>
      </c>
    </row>
    <row r="1310" spans="1:13" x14ac:dyDescent="0.25">
      <c r="A1310" s="1" t="s">
        <v>167</v>
      </c>
      <c r="B1310" s="1" t="s">
        <v>19</v>
      </c>
      <c r="C1310" s="1" t="s">
        <v>122</v>
      </c>
      <c r="D1310">
        <v>3</v>
      </c>
      <c r="E1310">
        <v>62</v>
      </c>
      <c r="F1310">
        <v>20.67</v>
      </c>
      <c r="G1310">
        <v>6</v>
      </c>
      <c r="H1310">
        <v>7</v>
      </c>
      <c r="I1310">
        <v>7</v>
      </c>
      <c r="J1310" s="1" t="s">
        <v>113</v>
      </c>
      <c r="K1310">
        <v>1</v>
      </c>
      <c r="L1310">
        <v>0</v>
      </c>
      <c r="M1310" t="str">
        <f>IF(tblPenalties[[#This Row],[total_yards]]=0, "Declined", "Accepted")</f>
        <v>Accepted</v>
      </c>
    </row>
    <row r="1311" spans="1:13" x14ac:dyDescent="0.25">
      <c r="A1311" s="1" t="s">
        <v>167</v>
      </c>
      <c r="B1311" s="1" t="s">
        <v>19</v>
      </c>
      <c r="C1311" s="1" t="s">
        <v>23</v>
      </c>
      <c r="D1311">
        <v>3</v>
      </c>
      <c r="E1311">
        <v>100</v>
      </c>
      <c r="F1311">
        <v>33.33</v>
      </c>
      <c r="G1311">
        <v>6</v>
      </c>
      <c r="H1311">
        <v>7</v>
      </c>
      <c r="I1311">
        <v>7</v>
      </c>
      <c r="J1311" s="1" t="s">
        <v>15</v>
      </c>
      <c r="K1311">
        <v>1</v>
      </c>
      <c r="L1311">
        <v>0</v>
      </c>
      <c r="M1311" t="str">
        <f>IF(tblPenalties[[#This Row],[total_yards]]=0, "Declined", "Accepted")</f>
        <v>Accepted</v>
      </c>
    </row>
    <row r="1312" spans="1:13" x14ac:dyDescent="0.25">
      <c r="A1312" s="1" t="s">
        <v>167</v>
      </c>
      <c r="B1312" s="1" t="s">
        <v>19</v>
      </c>
      <c r="C1312" s="1" t="s">
        <v>125</v>
      </c>
      <c r="D1312">
        <v>3</v>
      </c>
      <c r="E1312">
        <v>45</v>
      </c>
      <c r="F1312">
        <v>15</v>
      </c>
      <c r="G1312">
        <v>6</v>
      </c>
      <c r="H1312">
        <v>7</v>
      </c>
      <c r="I1312">
        <v>7</v>
      </c>
      <c r="J1312" s="1" t="s">
        <v>115</v>
      </c>
      <c r="K1312">
        <v>1</v>
      </c>
      <c r="L1312">
        <v>0</v>
      </c>
      <c r="M1312" t="str">
        <f>IF(tblPenalties[[#This Row],[total_yards]]=0, "Declined", "Accepted")</f>
        <v>Accepted</v>
      </c>
    </row>
    <row r="1313" spans="1:13" x14ac:dyDescent="0.25">
      <c r="A1313" s="1" t="s">
        <v>167</v>
      </c>
      <c r="B1313" s="1" t="s">
        <v>19</v>
      </c>
      <c r="C1313" s="1" t="s">
        <v>115</v>
      </c>
      <c r="D1313">
        <v>2</v>
      </c>
      <c r="E1313">
        <v>1</v>
      </c>
      <c r="F1313">
        <v>0.5</v>
      </c>
      <c r="G1313">
        <v>6</v>
      </c>
      <c r="H1313">
        <v>7</v>
      </c>
      <c r="I1313">
        <v>7</v>
      </c>
      <c r="J1313" s="1" t="s">
        <v>115</v>
      </c>
      <c r="K1313">
        <v>1</v>
      </c>
      <c r="L1313">
        <v>0</v>
      </c>
      <c r="M1313" t="str">
        <f>IF(tblPenalties[[#This Row],[total_yards]]=0, "Declined", "Accepted")</f>
        <v>Accepted</v>
      </c>
    </row>
    <row r="1314" spans="1:13" x14ac:dyDescent="0.25">
      <c r="A1314" s="1" t="s">
        <v>167</v>
      </c>
      <c r="B1314" s="1" t="s">
        <v>19</v>
      </c>
      <c r="C1314" s="1" t="s">
        <v>114</v>
      </c>
      <c r="D1314">
        <v>1</v>
      </c>
      <c r="E1314">
        <v>15</v>
      </c>
      <c r="F1314">
        <v>15</v>
      </c>
      <c r="G1314">
        <v>6</v>
      </c>
      <c r="H1314">
        <v>7</v>
      </c>
      <c r="I1314">
        <v>7</v>
      </c>
      <c r="J1314" s="1" t="s">
        <v>115</v>
      </c>
      <c r="K1314">
        <v>1</v>
      </c>
      <c r="L1314">
        <v>0</v>
      </c>
      <c r="M1314" t="str">
        <f>IF(tblPenalties[[#This Row],[total_yards]]=0, "Declined", "Accepted")</f>
        <v>Accepted</v>
      </c>
    </row>
    <row r="1315" spans="1:13" x14ac:dyDescent="0.25">
      <c r="A1315" s="1" t="s">
        <v>168</v>
      </c>
      <c r="B1315" s="1" t="s">
        <v>52</v>
      </c>
      <c r="C1315" s="1" t="s">
        <v>129</v>
      </c>
      <c r="D1315">
        <v>14</v>
      </c>
      <c r="E1315">
        <v>123</v>
      </c>
      <c r="F1315">
        <v>8.7899999999999991</v>
      </c>
      <c r="G1315">
        <v>7</v>
      </c>
      <c r="H1315">
        <v>6</v>
      </c>
      <c r="I1315">
        <v>8</v>
      </c>
      <c r="J1315" s="1" t="s">
        <v>130</v>
      </c>
      <c r="K1315">
        <v>1</v>
      </c>
      <c r="L1315">
        <v>0</v>
      </c>
      <c r="M1315" t="str">
        <f>IF(tblPenalties[[#This Row],[total_yards]]=0, "Declined", "Accepted")</f>
        <v>Accepted</v>
      </c>
    </row>
    <row r="1316" spans="1:13" x14ac:dyDescent="0.25">
      <c r="A1316" s="1" t="s">
        <v>168</v>
      </c>
      <c r="B1316" s="1" t="s">
        <v>52</v>
      </c>
      <c r="C1316" s="1" t="s">
        <v>14</v>
      </c>
      <c r="D1316">
        <v>11</v>
      </c>
      <c r="E1316">
        <v>49</v>
      </c>
      <c r="F1316">
        <v>4.45</v>
      </c>
      <c r="G1316">
        <v>7</v>
      </c>
      <c r="H1316">
        <v>6</v>
      </c>
      <c r="I1316">
        <v>8</v>
      </c>
      <c r="J1316" s="1" t="s">
        <v>15</v>
      </c>
      <c r="K1316">
        <v>1</v>
      </c>
      <c r="L1316">
        <v>0</v>
      </c>
      <c r="M1316" t="str">
        <f>IF(tblPenalties[[#This Row],[total_yards]]=0, "Declined", "Accepted")</f>
        <v>Accepted</v>
      </c>
    </row>
    <row r="1317" spans="1:13" x14ac:dyDescent="0.25">
      <c r="A1317" s="1" t="s">
        <v>168</v>
      </c>
      <c r="B1317" s="1" t="s">
        <v>52</v>
      </c>
      <c r="C1317" s="1" t="s">
        <v>31</v>
      </c>
      <c r="D1317">
        <v>8</v>
      </c>
      <c r="E1317">
        <v>47</v>
      </c>
      <c r="F1317">
        <v>5.88</v>
      </c>
      <c r="G1317">
        <v>7</v>
      </c>
      <c r="H1317">
        <v>6</v>
      </c>
      <c r="I1317">
        <v>8</v>
      </c>
      <c r="J1317" s="1" t="s">
        <v>15</v>
      </c>
      <c r="K1317">
        <v>1</v>
      </c>
      <c r="L1317">
        <v>0</v>
      </c>
      <c r="M1317" t="str">
        <f>IF(tblPenalties[[#This Row],[total_yards]]=0, "Declined", "Accepted")</f>
        <v>Accepted</v>
      </c>
    </row>
    <row r="1318" spans="1:13" x14ac:dyDescent="0.25">
      <c r="A1318" s="1" t="s">
        <v>168</v>
      </c>
      <c r="B1318" s="1" t="s">
        <v>52</v>
      </c>
      <c r="C1318" s="1" t="s">
        <v>112</v>
      </c>
      <c r="D1318">
        <v>8</v>
      </c>
      <c r="E1318">
        <v>49</v>
      </c>
      <c r="F1318">
        <v>6.12</v>
      </c>
      <c r="G1318">
        <v>7</v>
      </c>
      <c r="H1318">
        <v>6</v>
      </c>
      <c r="I1318">
        <v>8</v>
      </c>
      <c r="J1318" s="1" t="s">
        <v>113</v>
      </c>
      <c r="K1318">
        <v>1</v>
      </c>
      <c r="L1318">
        <v>0</v>
      </c>
      <c r="M1318" t="str">
        <f>IF(tblPenalties[[#This Row],[total_yards]]=0, "Declined", "Accepted")</f>
        <v>Accepted</v>
      </c>
    </row>
    <row r="1319" spans="1:13" x14ac:dyDescent="0.25">
      <c r="A1319" s="1" t="s">
        <v>168</v>
      </c>
      <c r="B1319" s="1" t="s">
        <v>52</v>
      </c>
      <c r="C1319" s="1" t="s">
        <v>122</v>
      </c>
      <c r="D1319">
        <v>3</v>
      </c>
      <c r="E1319">
        <v>35</v>
      </c>
      <c r="F1319">
        <v>11.67</v>
      </c>
      <c r="G1319">
        <v>7</v>
      </c>
      <c r="H1319">
        <v>6</v>
      </c>
      <c r="I1319">
        <v>8</v>
      </c>
      <c r="J1319" s="1" t="s">
        <v>113</v>
      </c>
      <c r="K1319">
        <v>1</v>
      </c>
      <c r="L1319">
        <v>0</v>
      </c>
      <c r="M1319" t="str">
        <f>IF(tblPenalties[[#This Row],[total_yards]]=0, "Declined", "Accepted")</f>
        <v>Accepted</v>
      </c>
    </row>
    <row r="1320" spans="1:13" x14ac:dyDescent="0.25">
      <c r="A1320" s="1" t="s">
        <v>168</v>
      </c>
      <c r="B1320" s="1" t="s">
        <v>52</v>
      </c>
      <c r="C1320" s="1" t="s">
        <v>117</v>
      </c>
      <c r="D1320">
        <v>3</v>
      </c>
      <c r="E1320">
        <v>28</v>
      </c>
      <c r="F1320">
        <v>9.33</v>
      </c>
      <c r="G1320">
        <v>7</v>
      </c>
      <c r="H1320">
        <v>6</v>
      </c>
      <c r="I1320">
        <v>8</v>
      </c>
      <c r="J1320" s="1" t="s">
        <v>118</v>
      </c>
      <c r="K1320">
        <v>1</v>
      </c>
      <c r="L1320">
        <v>0</v>
      </c>
      <c r="M1320" t="str">
        <f>IF(tblPenalties[[#This Row],[total_yards]]=0, "Declined", "Accepted")</f>
        <v>Accepted</v>
      </c>
    </row>
    <row r="1321" spans="1:13" x14ac:dyDescent="0.25">
      <c r="A1321" s="1" t="s">
        <v>168</v>
      </c>
      <c r="B1321" s="1" t="s">
        <v>52</v>
      </c>
      <c r="C1321" s="1" t="s">
        <v>114</v>
      </c>
      <c r="D1321">
        <v>3</v>
      </c>
      <c r="E1321">
        <v>30</v>
      </c>
      <c r="F1321">
        <v>10</v>
      </c>
      <c r="G1321">
        <v>7</v>
      </c>
      <c r="H1321">
        <v>6</v>
      </c>
      <c r="I1321">
        <v>8</v>
      </c>
      <c r="J1321" s="1" t="s">
        <v>115</v>
      </c>
      <c r="K1321">
        <v>1</v>
      </c>
      <c r="L1321">
        <v>0</v>
      </c>
      <c r="M1321" t="str">
        <f>IF(tblPenalties[[#This Row],[total_yards]]=0, "Declined", "Accepted")</f>
        <v>Accepted</v>
      </c>
    </row>
    <row r="1322" spans="1:13" x14ac:dyDescent="0.25">
      <c r="A1322" s="1" t="s">
        <v>168</v>
      </c>
      <c r="B1322" s="1" t="s">
        <v>52</v>
      </c>
      <c r="C1322" s="1" t="s">
        <v>22</v>
      </c>
      <c r="D1322">
        <v>1</v>
      </c>
      <c r="E1322">
        <v>5</v>
      </c>
      <c r="F1322">
        <v>5</v>
      </c>
      <c r="G1322">
        <v>7</v>
      </c>
      <c r="H1322">
        <v>6</v>
      </c>
      <c r="I1322">
        <v>8</v>
      </c>
      <c r="J1322" s="1" t="s">
        <v>15</v>
      </c>
      <c r="K1322">
        <v>1</v>
      </c>
      <c r="L1322">
        <v>0</v>
      </c>
      <c r="M1322" t="str">
        <f>IF(tblPenalties[[#This Row],[total_yards]]=0, "Declined", "Accepted")</f>
        <v>Accepted</v>
      </c>
    </row>
    <row r="1323" spans="1:13" x14ac:dyDescent="0.25">
      <c r="A1323" s="1" t="s">
        <v>168</v>
      </c>
      <c r="B1323" s="1" t="s">
        <v>52</v>
      </c>
      <c r="C1323" s="1" t="s">
        <v>23</v>
      </c>
      <c r="D1323">
        <v>1</v>
      </c>
      <c r="E1323">
        <v>41</v>
      </c>
      <c r="F1323">
        <v>41</v>
      </c>
      <c r="G1323">
        <v>7</v>
      </c>
      <c r="H1323">
        <v>6</v>
      </c>
      <c r="I1323">
        <v>8</v>
      </c>
      <c r="J1323" s="1" t="s">
        <v>15</v>
      </c>
      <c r="K1323">
        <v>1</v>
      </c>
      <c r="L1323">
        <v>0</v>
      </c>
      <c r="M1323" t="str">
        <f>IF(tblPenalties[[#This Row],[total_yards]]=0, "Declined", "Accepted")</f>
        <v>Accepted</v>
      </c>
    </row>
    <row r="1324" spans="1:13" x14ac:dyDescent="0.25">
      <c r="A1324" s="1" t="s">
        <v>168</v>
      </c>
      <c r="B1324" s="1" t="s">
        <v>52</v>
      </c>
      <c r="C1324" s="1" t="s">
        <v>115</v>
      </c>
      <c r="D1324">
        <v>1</v>
      </c>
      <c r="E1324">
        <v>15</v>
      </c>
      <c r="F1324">
        <v>15</v>
      </c>
      <c r="G1324">
        <v>7</v>
      </c>
      <c r="H1324">
        <v>6</v>
      </c>
      <c r="I1324">
        <v>8</v>
      </c>
      <c r="J1324" s="1" t="s">
        <v>115</v>
      </c>
      <c r="K1324">
        <v>1</v>
      </c>
      <c r="L1324">
        <v>0</v>
      </c>
      <c r="M1324" t="str">
        <f>IF(tblPenalties[[#This Row],[total_yards]]=0, "Declined", "Accepted")</f>
        <v>Accepted</v>
      </c>
    </row>
    <row r="1325" spans="1:13" x14ac:dyDescent="0.25">
      <c r="A1325" s="1" t="s">
        <v>168</v>
      </c>
      <c r="B1325" s="1" t="s">
        <v>52</v>
      </c>
      <c r="C1325" s="1" t="s">
        <v>128</v>
      </c>
      <c r="D1325">
        <v>1</v>
      </c>
      <c r="E1325">
        <v>0</v>
      </c>
      <c r="F1325">
        <v>0</v>
      </c>
      <c r="G1325">
        <v>7</v>
      </c>
      <c r="H1325">
        <v>6</v>
      </c>
      <c r="I1325">
        <v>8</v>
      </c>
      <c r="J1325" s="1" t="s">
        <v>115</v>
      </c>
      <c r="K1325">
        <v>0</v>
      </c>
      <c r="L1325">
        <v>1</v>
      </c>
      <c r="M1325" t="str">
        <f>IF(tblPenalties[[#This Row],[total_yards]]=0, "Declined", "Accepted")</f>
        <v>Declined</v>
      </c>
    </row>
    <row r="1326" spans="1:13" x14ac:dyDescent="0.25">
      <c r="A1326" s="1" t="s">
        <v>168</v>
      </c>
      <c r="B1326" s="1" t="s">
        <v>52</v>
      </c>
      <c r="C1326" s="1" t="s">
        <v>120</v>
      </c>
      <c r="D1326">
        <v>1</v>
      </c>
      <c r="E1326">
        <v>7</v>
      </c>
      <c r="F1326">
        <v>7</v>
      </c>
      <c r="G1326">
        <v>7</v>
      </c>
      <c r="H1326">
        <v>6</v>
      </c>
      <c r="I1326">
        <v>8</v>
      </c>
      <c r="J1326" s="1" t="s">
        <v>115</v>
      </c>
      <c r="K1326">
        <v>1</v>
      </c>
      <c r="L1326">
        <v>0</v>
      </c>
      <c r="M1326" t="str">
        <f>IF(tblPenalties[[#This Row],[total_yards]]=0, "Declined", "Accepted")</f>
        <v>Accepted</v>
      </c>
    </row>
    <row r="1327" spans="1:13" x14ac:dyDescent="0.25">
      <c r="A1327" s="1" t="s">
        <v>169</v>
      </c>
      <c r="B1327" s="1" t="s">
        <v>28</v>
      </c>
      <c r="C1327" s="1" t="s">
        <v>129</v>
      </c>
      <c r="D1327">
        <v>18</v>
      </c>
      <c r="E1327">
        <v>163</v>
      </c>
      <c r="F1327">
        <v>9.06</v>
      </c>
      <c r="G1327">
        <v>23</v>
      </c>
      <c r="H1327">
        <v>23</v>
      </c>
      <c r="I1327">
        <v>22</v>
      </c>
      <c r="J1327" s="1" t="s">
        <v>130</v>
      </c>
      <c r="K1327">
        <v>1</v>
      </c>
      <c r="L1327">
        <v>0</v>
      </c>
      <c r="M1327" t="str">
        <f>IF(tblPenalties[[#This Row],[total_yards]]=0, "Declined", "Accepted")</f>
        <v>Accepted</v>
      </c>
    </row>
    <row r="1328" spans="1:13" x14ac:dyDescent="0.25">
      <c r="A1328" s="1" t="s">
        <v>169</v>
      </c>
      <c r="B1328" s="1" t="s">
        <v>28</v>
      </c>
      <c r="C1328" s="1" t="s">
        <v>112</v>
      </c>
      <c r="D1328">
        <v>17</v>
      </c>
      <c r="E1328">
        <v>174</v>
      </c>
      <c r="F1328">
        <v>10.24</v>
      </c>
      <c r="G1328">
        <v>23</v>
      </c>
      <c r="H1328">
        <v>23</v>
      </c>
      <c r="I1328">
        <v>22</v>
      </c>
      <c r="J1328" s="1" t="s">
        <v>113</v>
      </c>
      <c r="K1328">
        <v>1</v>
      </c>
      <c r="L1328">
        <v>0</v>
      </c>
      <c r="M1328" t="str">
        <f>IF(tblPenalties[[#This Row],[total_yards]]=0, "Declined", "Accepted")</f>
        <v>Accepted</v>
      </c>
    </row>
    <row r="1329" spans="1:13" x14ac:dyDescent="0.25">
      <c r="A1329" s="1" t="s">
        <v>169</v>
      </c>
      <c r="B1329" s="1" t="s">
        <v>28</v>
      </c>
      <c r="C1329" s="1" t="s">
        <v>14</v>
      </c>
      <c r="D1329">
        <v>14</v>
      </c>
      <c r="E1329">
        <v>70</v>
      </c>
      <c r="F1329">
        <v>5</v>
      </c>
      <c r="G1329">
        <v>23</v>
      </c>
      <c r="H1329">
        <v>23</v>
      </c>
      <c r="I1329">
        <v>22</v>
      </c>
      <c r="J1329" s="1" t="s">
        <v>15</v>
      </c>
      <c r="K1329">
        <v>1</v>
      </c>
      <c r="L1329">
        <v>0</v>
      </c>
      <c r="M1329" t="str">
        <f>IF(tblPenalties[[#This Row],[total_yards]]=0, "Declined", "Accepted")</f>
        <v>Accepted</v>
      </c>
    </row>
    <row r="1330" spans="1:13" x14ac:dyDescent="0.25">
      <c r="A1330" s="1" t="s">
        <v>169</v>
      </c>
      <c r="B1330" s="1" t="s">
        <v>28</v>
      </c>
      <c r="C1330" s="1" t="s">
        <v>117</v>
      </c>
      <c r="D1330">
        <v>9</v>
      </c>
      <c r="E1330">
        <v>136</v>
      </c>
      <c r="F1330">
        <v>15.11</v>
      </c>
      <c r="G1330">
        <v>23</v>
      </c>
      <c r="H1330">
        <v>23</v>
      </c>
      <c r="I1330">
        <v>22</v>
      </c>
      <c r="J1330" s="1" t="s">
        <v>118</v>
      </c>
      <c r="K1330">
        <v>1</v>
      </c>
      <c r="L1330">
        <v>0</v>
      </c>
      <c r="M1330" t="str">
        <f>IF(tblPenalties[[#This Row],[total_yards]]=0, "Declined", "Accepted")</f>
        <v>Accepted</v>
      </c>
    </row>
    <row r="1331" spans="1:13" x14ac:dyDescent="0.25">
      <c r="A1331" s="1" t="s">
        <v>169</v>
      </c>
      <c r="B1331" s="1" t="s">
        <v>28</v>
      </c>
      <c r="C1331" s="1" t="s">
        <v>115</v>
      </c>
      <c r="D1331">
        <v>7</v>
      </c>
      <c r="E1331">
        <v>61</v>
      </c>
      <c r="F1331">
        <v>8.7100000000000009</v>
      </c>
      <c r="G1331">
        <v>23</v>
      </c>
      <c r="H1331">
        <v>23</v>
      </c>
      <c r="I1331">
        <v>22</v>
      </c>
      <c r="J1331" s="1" t="s">
        <v>115</v>
      </c>
      <c r="K1331">
        <v>1</v>
      </c>
      <c r="L1331">
        <v>0</v>
      </c>
      <c r="M1331" t="str">
        <f>IF(tblPenalties[[#This Row],[total_yards]]=0, "Declined", "Accepted")</f>
        <v>Accepted</v>
      </c>
    </row>
    <row r="1332" spans="1:13" x14ac:dyDescent="0.25">
      <c r="A1332" s="1" t="s">
        <v>169</v>
      </c>
      <c r="B1332" s="1" t="s">
        <v>28</v>
      </c>
      <c r="C1332" s="1" t="s">
        <v>31</v>
      </c>
      <c r="D1332">
        <v>6</v>
      </c>
      <c r="E1332">
        <v>18</v>
      </c>
      <c r="F1332">
        <v>3</v>
      </c>
      <c r="G1332">
        <v>23</v>
      </c>
      <c r="H1332">
        <v>23</v>
      </c>
      <c r="I1332">
        <v>22</v>
      </c>
      <c r="J1332" s="1" t="s">
        <v>15</v>
      </c>
      <c r="K1332">
        <v>1</v>
      </c>
      <c r="L1332">
        <v>0</v>
      </c>
      <c r="M1332" t="str">
        <f>IF(tblPenalties[[#This Row],[total_yards]]=0, "Declined", "Accepted")</f>
        <v>Accepted</v>
      </c>
    </row>
    <row r="1333" spans="1:13" x14ac:dyDescent="0.25">
      <c r="A1333" s="1" t="s">
        <v>169</v>
      </c>
      <c r="B1333" s="1" t="s">
        <v>28</v>
      </c>
      <c r="C1333" s="1" t="s">
        <v>122</v>
      </c>
      <c r="D1333">
        <v>5</v>
      </c>
      <c r="E1333">
        <v>54</v>
      </c>
      <c r="F1333">
        <v>10.8</v>
      </c>
      <c r="G1333">
        <v>23</v>
      </c>
      <c r="H1333">
        <v>23</v>
      </c>
      <c r="I1333">
        <v>22</v>
      </c>
      <c r="J1333" s="1" t="s">
        <v>113</v>
      </c>
      <c r="K1333">
        <v>1</v>
      </c>
      <c r="L1333">
        <v>0</v>
      </c>
      <c r="M1333" t="str">
        <f>IF(tblPenalties[[#This Row],[total_yards]]=0, "Declined", "Accepted")</f>
        <v>Accepted</v>
      </c>
    </row>
    <row r="1334" spans="1:13" x14ac:dyDescent="0.25">
      <c r="A1334" s="1" t="s">
        <v>169</v>
      </c>
      <c r="B1334" s="1" t="s">
        <v>28</v>
      </c>
      <c r="C1334" s="1" t="s">
        <v>114</v>
      </c>
      <c r="D1334">
        <v>4</v>
      </c>
      <c r="E1334">
        <v>30</v>
      </c>
      <c r="F1334">
        <v>7.5</v>
      </c>
      <c r="G1334">
        <v>23</v>
      </c>
      <c r="H1334">
        <v>23</v>
      </c>
      <c r="I1334">
        <v>22</v>
      </c>
      <c r="J1334" s="1" t="s">
        <v>115</v>
      </c>
      <c r="K1334">
        <v>1</v>
      </c>
      <c r="L1334">
        <v>0</v>
      </c>
      <c r="M1334" t="str">
        <f>IF(tblPenalties[[#This Row],[total_yards]]=0, "Declined", "Accepted")</f>
        <v>Accepted</v>
      </c>
    </row>
    <row r="1335" spans="1:13" x14ac:dyDescent="0.25">
      <c r="A1335" s="1" t="s">
        <v>169</v>
      </c>
      <c r="B1335" s="1" t="s">
        <v>28</v>
      </c>
      <c r="C1335" s="1" t="s">
        <v>22</v>
      </c>
      <c r="D1335">
        <v>3</v>
      </c>
      <c r="E1335">
        <v>15</v>
      </c>
      <c r="F1335">
        <v>5</v>
      </c>
      <c r="G1335">
        <v>23</v>
      </c>
      <c r="H1335">
        <v>23</v>
      </c>
      <c r="I1335">
        <v>22</v>
      </c>
      <c r="J1335" s="1" t="s">
        <v>15</v>
      </c>
      <c r="K1335">
        <v>1</v>
      </c>
      <c r="L1335">
        <v>0</v>
      </c>
      <c r="M1335" t="str">
        <f>IF(tblPenalties[[#This Row],[total_yards]]=0, "Declined", "Accepted")</f>
        <v>Accepted</v>
      </c>
    </row>
    <row r="1336" spans="1:13" x14ac:dyDescent="0.25">
      <c r="A1336" s="1" t="s">
        <v>169</v>
      </c>
      <c r="B1336" s="1" t="s">
        <v>28</v>
      </c>
      <c r="C1336" s="1" t="s">
        <v>128</v>
      </c>
      <c r="D1336">
        <v>2</v>
      </c>
      <c r="E1336">
        <v>46</v>
      </c>
      <c r="F1336">
        <v>23</v>
      </c>
      <c r="G1336">
        <v>23</v>
      </c>
      <c r="H1336">
        <v>23</v>
      </c>
      <c r="I1336">
        <v>22</v>
      </c>
      <c r="J1336" s="1" t="s">
        <v>115</v>
      </c>
      <c r="K1336">
        <v>1</v>
      </c>
      <c r="L1336">
        <v>0</v>
      </c>
      <c r="M1336" t="str">
        <f>IF(tblPenalties[[#This Row],[total_yards]]=0, "Declined", "Accepted")</f>
        <v>Accepted</v>
      </c>
    </row>
    <row r="1337" spans="1:13" x14ac:dyDescent="0.25">
      <c r="A1337" s="1" t="s">
        <v>169</v>
      </c>
      <c r="B1337" s="1" t="s">
        <v>28</v>
      </c>
      <c r="C1337" s="1" t="s">
        <v>49</v>
      </c>
      <c r="D1337">
        <v>1</v>
      </c>
      <c r="E1337">
        <v>5</v>
      </c>
      <c r="F1337">
        <v>5</v>
      </c>
      <c r="G1337">
        <v>23</v>
      </c>
      <c r="H1337">
        <v>23</v>
      </c>
      <c r="I1337">
        <v>22</v>
      </c>
      <c r="J1337" s="1" t="s">
        <v>15</v>
      </c>
      <c r="K1337">
        <v>1</v>
      </c>
      <c r="L1337">
        <v>0</v>
      </c>
      <c r="M1337" t="str">
        <f>IF(tblPenalties[[#This Row],[total_yards]]=0, "Declined", "Accepted")</f>
        <v>Accepted</v>
      </c>
    </row>
    <row r="1338" spans="1:13" x14ac:dyDescent="0.25">
      <c r="A1338" s="1" t="s">
        <v>169</v>
      </c>
      <c r="B1338" s="1" t="s">
        <v>28</v>
      </c>
      <c r="C1338" s="1" t="s">
        <v>120</v>
      </c>
      <c r="D1338">
        <v>1</v>
      </c>
      <c r="E1338">
        <v>0</v>
      </c>
      <c r="F1338">
        <v>0</v>
      </c>
      <c r="G1338">
        <v>23</v>
      </c>
      <c r="H1338">
        <v>23</v>
      </c>
      <c r="I1338">
        <v>22</v>
      </c>
      <c r="J1338" s="1" t="s">
        <v>115</v>
      </c>
      <c r="K1338">
        <v>0</v>
      </c>
      <c r="L1338">
        <v>1</v>
      </c>
      <c r="M1338" t="str">
        <f>IF(tblPenalties[[#This Row],[total_yards]]=0, "Declined", "Accepted")</f>
        <v>Declined</v>
      </c>
    </row>
    <row r="1339" spans="1:13" x14ac:dyDescent="0.25">
      <c r="A1339" s="1" t="s">
        <v>170</v>
      </c>
      <c r="B1339" s="1" t="s">
        <v>19</v>
      </c>
      <c r="C1339" s="1" t="s">
        <v>14</v>
      </c>
      <c r="D1339">
        <v>16</v>
      </c>
      <c r="E1339">
        <v>65</v>
      </c>
      <c r="F1339">
        <v>4.0599999999999996</v>
      </c>
      <c r="G1339">
        <v>21</v>
      </c>
      <c r="H1339">
        <v>20</v>
      </c>
      <c r="I1339">
        <v>23</v>
      </c>
      <c r="J1339" s="1" t="s">
        <v>15</v>
      </c>
      <c r="K1339">
        <v>1</v>
      </c>
      <c r="L1339">
        <v>0</v>
      </c>
      <c r="M1339" t="str">
        <f>IF(tblPenalties[[#This Row],[total_yards]]=0, "Declined", "Accepted")</f>
        <v>Accepted</v>
      </c>
    </row>
    <row r="1340" spans="1:13" x14ac:dyDescent="0.25">
      <c r="A1340" s="1" t="s">
        <v>170</v>
      </c>
      <c r="B1340" s="1" t="s">
        <v>19</v>
      </c>
      <c r="C1340" s="1" t="s">
        <v>129</v>
      </c>
      <c r="D1340">
        <v>13</v>
      </c>
      <c r="E1340">
        <v>119</v>
      </c>
      <c r="F1340">
        <v>9.15</v>
      </c>
      <c r="G1340">
        <v>21</v>
      </c>
      <c r="H1340">
        <v>20</v>
      </c>
      <c r="I1340">
        <v>23</v>
      </c>
      <c r="J1340" s="1" t="s">
        <v>130</v>
      </c>
      <c r="K1340">
        <v>1</v>
      </c>
      <c r="L1340">
        <v>0</v>
      </c>
      <c r="M1340" t="str">
        <f>IF(tblPenalties[[#This Row],[total_yards]]=0, "Declined", "Accepted")</f>
        <v>Accepted</v>
      </c>
    </row>
    <row r="1341" spans="1:13" x14ac:dyDescent="0.25">
      <c r="A1341" s="1" t="s">
        <v>170</v>
      </c>
      <c r="B1341" s="1" t="s">
        <v>19</v>
      </c>
      <c r="C1341" s="1" t="s">
        <v>117</v>
      </c>
      <c r="D1341">
        <v>11</v>
      </c>
      <c r="E1341">
        <v>167</v>
      </c>
      <c r="F1341">
        <v>15.18</v>
      </c>
      <c r="G1341">
        <v>21</v>
      </c>
      <c r="H1341">
        <v>20</v>
      </c>
      <c r="I1341">
        <v>23</v>
      </c>
      <c r="J1341" s="1" t="s">
        <v>118</v>
      </c>
      <c r="K1341">
        <v>1</v>
      </c>
      <c r="L1341">
        <v>0</v>
      </c>
      <c r="M1341" t="str">
        <f>IF(tblPenalties[[#This Row],[total_yards]]=0, "Declined", "Accepted")</f>
        <v>Accepted</v>
      </c>
    </row>
    <row r="1342" spans="1:13" x14ac:dyDescent="0.25">
      <c r="A1342" s="1" t="s">
        <v>170</v>
      </c>
      <c r="B1342" s="1" t="s">
        <v>19</v>
      </c>
      <c r="C1342" s="1" t="s">
        <v>112</v>
      </c>
      <c r="D1342">
        <v>10</v>
      </c>
      <c r="E1342">
        <v>93</v>
      </c>
      <c r="F1342">
        <v>9.3000000000000007</v>
      </c>
      <c r="G1342">
        <v>21</v>
      </c>
      <c r="H1342">
        <v>20</v>
      </c>
      <c r="I1342">
        <v>23</v>
      </c>
      <c r="J1342" s="1" t="s">
        <v>113</v>
      </c>
      <c r="K1342">
        <v>1</v>
      </c>
      <c r="L1342">
        <v>0</v>
      </c>
      <c r="M1342" t="str">
        <f>IF(tblPenalties[[#This Row],[total_yards]]=0, "Declined", "Accepted")</f>
        <v>Accepted</v>
      </c>
    </row>
    <row r="1343" spans="1:13" x14ac:dyDescent="0.25">
      <c r="A1343" s="1" t="s">
        <v>170</v>
      </c>
      <c r="B1343" s="1" t="s">
        <v>19</v>
      </c>
      <c r="C1343" s="1" t="s">
        <v>115</v>
      </c>
      <c r="D1343">
        <v>7</v>
      </c>
      <c r="E1343">
        <v>44</v>
      </c>
      <c r="F1343">
        <v>6.29</v>
      </c>
      <c r="G1343">
        <v>21</v>
      </c>
      <c r="H1343">
        <v>20</v>
      </c>
      <c r="I1343">
        <v>23</v>
      </c>
      <c r="J1343" s="1" t="s">
        <v>115</v>
      </c>
      <c r="K1343">
        <v>1</v>
      </c>
      <c r="L1343">
        <v>0</v>
      </c>
      <c r="M1343" t="str">
        <f>IF(tblPenalties[[#This Row],[total_yards]]=0, "Declined", "Accepted")</f>
        <v>Accepted</v>
      </c>
    </row>
    <row r="1344" spans="1:13" x14ac:dyDescent="0.25">
      <c r="A1344" s="1" t="s">
        <v>170</v>
      </c>
      <c r="B1344" s="1" t="s">
        <v>19</v>
      </c>
      <c r="C1344" s="1" t="s">
        <v>31</v>
      </c>
      <c r="D1344">
        <v>5</v>
      </c>
      <c r="E1344">
        <v>25</v>
      </c>
      <c r="F1344">
        <v>5</v>
      </c>
      <c r="G1344">
        <v>21</v>
      </c>
      <c r="H1344">
        <v>20</v>
      </c>
      <c r="I1344">
        <v>23</v>
      </c>
      <c r="J1344" s="1" t="s">
        <v>15</v>
      </c>
      <c r="K1344">
        <v>1</v>
      </c>
      <c r="L1344">
        <v>0</v>
      </c>
      <c r="M1344" t="str">
        <f>IF(tblPenalties[[#This Row],[total_yards]]=0, "Declined", "Accepted")</f>
        <v>Accepted</v>
      </c>
    </row>
    <row r="1345" spans="1:13" x14ac:dyDescent="0.25">
      <c r="A1345" s="1" t="s">
        <v>170</v>
      </c>
      <c r="B1345" s="1" t="s">
        <v>19</v>
      </c>
      <c r="C1345" s="1" t="s">
        <v>114</v>
      </c>
      <c r="D1345">
        <v>3</v>
      </c>
      <c r="E1345">
        <v>65</v>
      </c>
      <c r="F1345">
        <v>21.67</v>
      </c>
      <c r="G1345">
        <v>21</v>
      </c>
      <c r="H1345">
        <v>20</v>
      </c>
      <c r="I1345">
        <v>23</v>
      </c>
      <c r="J1345" s="1" t="s">
        <v>115</v>
      </c>
      <c r="K1345">
        <v>1</v>
      </c>
      <c r="L1345">
        <v>0</v>
      </c>
      <c r="M1345" t="str">
        <f>IF(tblPenalties[[#This Row],[total_yards]]=0, "Declined", "Accepted")</f>
        <v>Accepted</v>
      </c>
    </row>
    <row r="1346" spans="1:13" x14ac:dyDescent="0.25">
      <c r="A1346" s="1" t="s">
        <v>170</v>
      </c>
      <c r="B1346" s="1" t="s">
        <v>19</v>
      </c>
      <c r="C1346" s="1" t="s">
        <v>22</v>
      </c>
      <c r="D1346">
        <v>2</v>
      </c>
      <c r="E1346">
        <v>9</v>
      </c>
      <c r="F1346">
        <v>4.5</v>
      </c>
      <c r="G1346">
        <v>21</v>
      </c>
      <c r="H1346">
        <v>20</v>
      </c>
      <c r="I1346">
        <v>23</v>
      </c>
      <c r="J1346" s="1" t="s">
        <v>15</v>
      </c>
      <c r="K1346">
        <v>1</v>
      </c>
      <c r="L1346">
        <v>0</v>
      </c>
      <c r="M1346" t="str">
        <f>IF(tblPenalties[[#This Row],[total_yards]]=0, "Declined", "Accepted")</f>
        <v>Accepted</v>
      </c>
    </row>
    <row r="1347" spans="1:13" x14ac:dyDescent="0.25">
      <c r="A1347" s="1" t="s">
        <v>170</v>
      </c>
      <c r="B1347" s="1" t="s">
        <v>19</v>
      </c>
      <c r="C1347" s="1" t="s">
        <v>122</v>
      </c>
      <c r="D1347">
        <v>2</v>
      </c>
      <c r="E1347">
        <v>14</v>
      </c>
      <c r="F1347">
        <v>7</v>
      </c>
      <c r="G1347">
        <v>21</v>
      </c>
      <c r="H1347">
        <v>20</v>
      </c>
      <c r="I1347">
        <v>23</v>
      </c>
      <c r="J1347" s="1" t="s">
        <v>113</v>
      </c>
      <c r="K1347">
        <v>1</v>
      </c>
      <c r="L1347">
        <v>0</v>
      </c>
      <c r="M1347" t="str">
        <f>IF(tblPenalties[[#This Row],[total_yards]]=0, "Declined", "Accepted")</f>
        <v>Accepted</v>
      </c>
    </row>
    <row r="1348" spans="1:13" x14ac:dyDescent="0.25">
      <c r="A1348" s="1" t="s">
        <v>170</v>
      </c>
      <c r="B1348" s="1" t="s">
        <v>19</v>
      </c>
      <c r="C1348" s="1" t="s">
        <v>23</v>
      </c>
      <c r="D1348">
        <v>2</v>
      </c>
      <c r="E1348">
        <v>29</v>
      </c>
      <c r="F1348">
        <v>14.5</v>
      </c>
      <c r="G1348">
        <v>21</v>
      </c>
      <c r="H1348">
        <v>20</v>
      </c>
      <c r="I1348">
        <v>23</v>
      </c>
      <c r="J1348" s="1" t="s">
        <v>15</v>
      </c>
      <c r="K1348">
        <v>1</v>
      </c>
      <c r="L1348">
        <v>0</v>
      </c>
      <c r="M1348" t="str">
        <f>IF(tblPenalties[[#This Row],[total_yards]]=0, "Declined", "Accepted")</f>
        <v>Accepted</v>
      </c>
    </row>
    <row r="1349" spans="1:13" x14ac:dyDescent="0.25">
      <c r="A1349" s="1" t="s">
        <v>170</v>
      </c>
      <c r="B1349" s="1" t="s">
        <v>19</v>
      </c>
      <c r="C1349" s="1" t="s">
        <v>128</v>
      </c>
      <c r="D1349">
        <v>2</v>
      </c>
      <c r="E1349">
        <v>15</v>
      </c>
      <c r="F1349">
        <v>7.5</v>
      </c>
      <c r="G1349">
        <v>21</v>
      </c>
      <c r="H1349">
        <v>20</v>
      </c>
      <c r="I1349">
        <v>23</v>
      </c>
      <c r="J1349" s="1" t="s">
        <v>115</v>
      </c>
      <c r="K1349">
        <v>1</v>
      </c>
      <c r="L1349">
        <v>0</v>
      </c>
      <c r="M1349" t="str">
        <f>IF(tblPenalties[[#This Row],[total_yards]]=0, "Declined", "Accepted")</f>
        <v>Accepted</v>
      </c>
    </row>
    <row r="1350" spans="1:13" x14ac:dyDescent="0.25">
      <c r="A1350" s="1" t="s">
        <v>171</v>
      </c>
      <c r="B1350" s="1" t="s">
        <v>19</v>
      </c>
      <c r="C1350" s="1" t="s">
        <v>14</v>
      </c>
      <c r="D1350">
        <v>21</v>
      </c>
      <c r="E1350">
        <v>95</v>
      </c>
      <c r="F1350">
        <v>4.5199999999999996</v>
      </c>
      <c r="G1350">
        <v>10</v>
      </c>
      <c r="H1350">
        <v>10</v>
      </c>
      <c r="I1350">
        <v>10</v>
      </c>
      <c r="J1350" s="1" t="s">
        <v>15</v>
      </c>
      <c r="K1350">
        <v>1</v>
      </c>
      <c r="L1350">
        <v>0</v>
      </c>
      <c r="M1350" t="str">
        <f>IF(tblPenalties[[#This Row],[total_yards]]=0, "Declined", "Accepted")</f>
        <v>Accepted</v>
      </c>
    </row>
    <row r="1351" spans="1:13" x14ac:dyDescent="0.25">
      <c r="A1351" s="1" t="s">
        <v>171</v>
      </c>
      <c r="B1351" s="1" t="s">
        <v>19</v>
      </c>
      <c r="C1351" s="1" t="s">
        <v>129</v>
      </c>
      <c r="D1351">
        <v>17</v>
      </c>
      <c r="E1351">
        <v>108</v>
      </c>
      <c r="F1351">
        <v>6.35</v>
      </c>
      <c r="G1351">
        <v>10</v>
      </c>
      <c r="H1351">
        <v>10</v>
      </c>
      <c r="I1351">
        <v>10</v>
      </c>
      <c r="J1351" s="1" t="s">
        <v>130</v>
      </c>
      <c r="K1351">
        <v>1</v>
      </c>
      <c r="L1351">
        <v>0</v>
      </c>
      <c r="M1351" t="str">
        <f>IF(tblPenalties[[#This Row],[total_yards]]=0, "Declined", "Accepted")</f>
        <v>Accepted</v>
      </c>
    </row>
    <row r="1352" spans="1:13" x14ac:dyDescent="0.25">
      <c r="A1352" s="1" t="s">
        <v>171</v>
      </c>
      <c r="B1352" s="1" t="s">
        <v>19</v>
      </c>
      <c r="C1352" s="1" t="s">
        <v>112</v>
      </c>
      <c r="D1352">
        <v>11</v>
      </c>
      <c r="E1352">
        <v>43</v>
      </c>
      <c r="F1352">
        <v>3.91</v>
      </c>
      <c r="G1352">
        <v>10</v>
      </c>
      <c r="H1352">
        <v>10</v>
      </c>
      <c r="I1352">
        <v>10</v>
      </c>
      <c r="J1352" s="1" t="s">
        <v>113</v>
      </c>
      <c r="K1352">
        <v>1</v>
      </c>
      <c r="L1352">
        <v>0</v>
      </c>
      <c r="M1352" t="str">
        <f>IF(tblPenalties[[#This Row],[total_yards]]=0, "Declined", "Accepted")</f>
        <v>Accepted</v>
      </c>
    </row>
    <row r="1353" spans="1:13" x14ac:dyDescent="0.25">
      <c r="A1353" s="1" t="s">
        <v>171</v>
      </c>
      <c r="B1353" s="1" t="s">
        <v>19</v>
      </c>
      <c r="C1353" s="1" t="s">
        <v>117</v>
      </c>
      <c r="D1353">
        <v>4</v>
      </c>
      <c r="E1353">
        <v>32</v>
      </c>
      <c r="F1353">
        <v>8</v>
      </c>
      <c r="G1353">
        <v>10</v>
      </c>
      <c r="H1353">
        <v>10</v>
      </c>
      <c r="I1353">
        <v>10</v>
      </c>
      <c r="J1353" s="1" t="s">
        <v>118</v>
      </c>
      <c r="K1353">
        <v>1</v>
      </c>
      <c r="L1353">
        <v>0</v>
      </c>
      <c r="M1353" t="str">
        <f>IF(tblPenalties[[#This Row],[total_yards]]=0, "Declined", "Accepted")</f>
        <v>Accepted</v>
      </c>
    </row>
    <row r="1354" spans="1:13" x14ac:dyDescent="0.25">
      <c r="A1354" s="1" t="s">
        <v>171</v>
      </c>
      <c r="B1354" s="1" t="s">
        <v>19</v>
      </c>
      <c r="C1354" s="1" t="s">
        <v>22</v>
      </c>
      <c r="D1354">
        <v>3</v>
      </c>
      <c r="E1354">
        <v>15</v>
      </c>
      <c r="F1354">
        <v>5</v>
      </c>
      <c r="G1354">
        <v>10</v>
      </c>
      <c r="H1354">
        <v>10</v>
      </c>
      <c r="I1354">
        <v>10</v>
      </c>
      <c r="J1354" s="1" t="s">
        <v>15</v>
      </c>
      <c r="K1354">
        <v>1</v>
      </c>
      <c r="L1354">
        <v>0</v>
      </c>
      <c r="M1354" t="str">
        <f>IF(tblPenalties[[#This Row],[total_yards]]=0, "Declined", "Accepted")</f>
        <v>Accepted</v>
      </c>
    </row>
    <row r="1355" spans="1:13" x14ac:dyDescent="0.25">
      <c r="A1355" s="1" t="s">
        <v>171</v>
      </c>
      <c r="B1355" s="1" t="s">
        <v>19</v>
      </c>
      <c r="C1355" s="1" t="s">
        <v>31</v>
      </c>
      <c r="D1355">
        <v>3</v>
      </c>
      <c r="E1355">
        <v>8</v>
      </c>
      <c r="F1355">
        <v>2.67</v>
      </c>
      <c r="G1355">
        <v>10</v>
      </c>
      <c r="H1355">
        <v>10</v>
      </c>
      <c r="I1355">
        <v>10</v>
      </c>
      <c r="J1355" s="1" t="s">
        <v>15</v>
      </c>
      <c r="K1355">
        <v>1</v>
      </c>
      <c r="L1355">
        <v>0</v>
      </c>
      <c r="M1355" t="str">
        <f>IF(tblPenalties[[#This Row],[total_yards]]=0, "Declined", "Accepted")</f>
        <v>Accepted</v>
      </c>
    </row>
    <row r="1356" spans="1:13" x14ac:dyDescent="0.25">
      <c r="A1356" s="1" t="s">
        <v>171</v>
      </c>
      <c r="B1356" s="1" t="s">
        <v>19</v>
      </c>
      <c r="C1356" s="1" t="s">
        <v>122</v>
      </c>
      <c r="D1356">
        <v>2</v>
      </c>
      <c r="E1356">
        <v>15</v>
      </c>
      <c r="F1356">
        <v>7.5</v>
      </c>
      <c r="G1356">
        <v>10</v>
      </c>
      <c r="H1356">
        <v>10</v>
      </c>
      <c r="I1356">
        <v>10</v>
      </c>
      <c r="J1356" s="1" t="s">
        <v>113</v>
      </c>
      <c r="K1356">
        <v>1</v>
      </c>
      <c r="L1356">
        <v>0</v>
      </c>
      <c r="M1356" t="str">
        <f>IF(tblPenalties[[#This Row],[total_yards]]=0, "Declined", "Accepted")</f>
        <v>Accepted</v>
      </c>
    </row>
    <row r="1357" spans="1:13" x14ac:dyDescent="0.25">
      <c r="A1357" s="1" t="s">
        <v>171</v>
      </c>
      <c r="B1357" s="1" t="s">
        <v>19</v>
      </c>
      <c r="C1357" s="1" t="s">
        <v>128</v>
      </c>
      <c r="D1357">
        <v>2</v>
      </c>
      <c r="E1357">
        <v>21</v>
      </c>
      <c r="F1357">
        <v>10.5</v>
      </c>
      <c r="G1357">
        <v>10</v>
      </c>
      <c r="H1357">
        <v>10</v>
      </c>
      <c r="I1357">
        <v>10</v>
      </c>
      <c r="J1357" s="1" t="s">
        <v>115</v>
      </c>
      <c r="K1357">
        <v>1</v>
      </c>
      <c r="L1357">
        <v>0</v>
      </c>
      <c r="M1357" t="str">
        <f>IF(tblPenalties[[#This Row],[total_yards]]=0, "Declined", "Accepted")</f>
        <v>Accepted</v>
      </c>
    </row>
    <row r="1358" spans="1:13" x14ac:dyDescent="0.25">
      <c r="A1358" s="1" t="s">
        <v>171</v>
      </c>
      <c r="B1358" s="1" t="s">
        <v>19</v>
      </c>
      <c r="C1358" s="1" t="s">
        <v>23</v>
      </c>
      <c r="D1358">
        <v>1</v>
      </c>
      <c r="E1358">
        <v>5</v>
      </c>
      <c r="F1358">
        <v>5</v>
      </c>
      <c r="G1358">
        <v>10</v>
      </c>
      <c r="H1358">
        <v>10</v>
      </c>
      <c r="I1358">
        <v>10</v>
      </c>
      <c r="J1358" s="1" t="s">
        <v>15</v>
      </c>
      <c r="K1358">
        <v>1</v>
      </c>
      <c r="L1358">
        <v>0</v>
      </c>
      <c r="M1358" t="str">
        <f>IF(tblPenalties[[#This Row],[total_yards]]=0, "Declined", "Accepted")</f>
        <v>Accepted</v>
      </c>
    </row>
    <row r="1359" spans="1:13" x14ac:dyDescent="0.25">
      <c r="A1359" s="1" t="s">
        <v>172</v>
      </c>
      <c r="B1359" s="1" t="s">
        <v>19</v>
      </c>
      <c r="C1359" s="1" t="s">
        <v>129</v>
      </c>
      <c r="D1359">
        <v>18</v>
      </c>
      <c r="E1359">
        <v>167</v>
      </c>
      <c r="F1359">
        <v>9.2799999999999994</v>
      </c>
      <c r="G1359">
        <v>3</v>
      </c>
      <c r="H1359">
        <v>3</v>
      </c>
      <c r="I1359">
        <v>3</v>
      </c>
      <c r="J1359" s="1" t="s">
        <v>130</v>
      </c>
      <c r="K1359">
        <v>1</v>
      </c>
      <c r="L1359">
        <v>0</v>
      </c>
      <c r="M1359" t="str">
        <f>IF(tblPenalties[[#This Row],[total_yards]]=0, "Declined", "Accepted")</f>
        <v>Accepted</v>
      </c>
    </row>
    <row r="1360" spans="1:13" x14ac:dyDescent="0.25">
      <c r="A1360" s="1" t="s">
        <v>172</v>
      </c>
      <c r="B1360" s="1" t="s">
        <v>19</v>
      </c>
      <c r="C1360" s="1" t="s">
        <v>14</v>
      </c>
      <c r="D1360">
        <v>16</v>
      </c>
      <c r="E1360">
        <v>20</v>
      </c>
      <c r="F1360">
        <v>1.25</v>
      </c>
      <c r="G1360">
        <v>3</v>
      </c>
      <c r="H1360">
        <v>3</v>
      </c>
      <c r="I1360">
        <v>3</v>
      </c>
      <c r="J1360" s="1" t="s">
        <v>15</v>
      </c>
      <c r="K1360">
        <v>1</v>
      </c>
      <c r="L1360">
        <v>0</v>
      </c>
      <c r="M1360" t="str">
        <f>IF(tblPenalties[[#This Row],[total_yards]]=0, "Declined", "Accepted")</f>
        <v>Accepted</v>
      </c>
    </row>
    <row r="1361" spans="1:13" x14ac:dyDescent="0.25">
      <c r="A1361" s="1" t="s">
        <v>172</v>
      </c>
      <c r="B1361" s="1" t="s">
        <v>19</v>
      </c>
      <c r="C1361" s="1" t="s">
        <v>112</v>
      </c>
      <c r="D1361">
        <v>8</v>
      </c>
      <c r="E1361">
        <v>42</v>
      </c>
      <c r="F1361">
        <v>5.25</v>
      </c>
      <c r="G1361">
        <v>3</v>
      </c>
      <c r="H1361">
        <v>3</v>
      </c>
      <c r="I1361">
        <v>3</v>
      </c>
      <c r="J1361" s="1" t="s">
        <v>113</v>
      </c>
      <c r="K1361">
        <v>1</v>
      </c>
      <c r="L1361">
        <v>0</v>
      </c>
      <c r="M1361" t="str">
        <f>IF(tblPenalties[[#This Row],[total_yards]]=0, "Declined", "Accepted")</f>
        <v>Accepted</v>
      </c>
    </row>
    <row r="1362" spans="1:13" x14ac:dyDescent="0.25">
      <c r="A1362" s="1" t="s">
        <v>172</v>
      </c>
      <c r="B1362" s="1" t="s">
        <v>19</v>
      </c>
      <c r="C1362" s="1" t="s">
        <v>117</v>
      </c>
      <c r="D1362">
        <v>5</v>
      </c>
      <c r="E1362">
        <v>26</v>
      </c>
      <c r="F1362">
        <v>5.2</v>
      </c>
      <c r="G1362">
        <v>3</v>
      </c>
      <c r="H1362">
        <v>3</v>
      </c>
      <c r="I1362">
        <v>3</v>
      </c>
      <c r="J1362" s="1" t="s">
        <v>118</v>
      </c>
      <c r="K1362">
        <v>1</v>
      </c>
      <c r="L1362">
        <v>0</v>
      </c>
      <c r="M1362" t="str">
        <f>IF(tblPenalties[[#This Row],[total_yards]]=0, "Declined", "Accepted")</f>
        <v>Accepted</v>
      </c>
    </row>
    <row r="1363" spans="1:13" x14ac:dyDescent="0.25">
      <c r="A1363" s="1" t="s">
        <v>172</v>
      </c>
      <c r="B1363" s="1" t="s">
        <v>19</v>
      </c>
      <c r="C1363" s="1" t="s">
        <v>115</v>
      </c>
      <c r="D1363">
        <v>5</v>
      </c>
      <c r="E1363">
        <v>15</v>
      </c>
      <c r="F1363">
        <v>3</v>
      </c>
      <c r="G1363">
        <v>3</v>
      </c>
      <c r="H1363">
        <v>3</v>
      </c>
      <c r="I1363">
        <v>3</v>
      </c>
      <c r="J1363" s="1" t="s">
        <v>115</v>
      </c>
      <c r="K1363">
        <v>1</v>
      </c>
      <c r="L1363">
        <v>0</v>
      </c>
      <c r="M1363" t="str">
        <f>IF(tblPenalties[[#This Row],[total_yards]]=0, "Declined", "Accepted")</f>
        <v>Accepted</v>
      </c>
    </row>
    <row r="1364" spans="1:13" x14ac:dyDescent="0.25">
      <c r="A1364" s="1" t="s">
        <v>172</v>
      </c>
      <c r="B1364" s="1" t="s">
        <v>19</v>
      </c>
      <c r="C1364" s="1" t="s">
        <v>22</v>
      </c>
      <c r="D1364">
        <v>4</v>
      </c>
      <c r="E1364">
        <v>20</v>
      </c>
      <c r="F1364">
        <v>5</v>
      </c>
      <c r="G1364">
        <v>3</v>
      </c>
      <c r="H1364">
        <v>3</v>
      </c>
      <c r="I1364">
        <v>3</v>
      </c>
      <c r="J1364" s="1" t="s">
        <v>15</v>
      </c>
      <c r="K1364">
        <v>1</v>
      </c>
      <c r="L1364">
        <v>0</v>
      </c>
      <c r="M1364" t="str">
        <f>IF(tblPenalties[[#This Row],[total_yards]]=0, "Declined", "Accepted")</f>
        <v>Accepted</v>
      </c>
    </row>
    <row r="1365" spans="1:13" x14ac:dyDescent="0.25">
      <c r="A1365" s="1" t="s">
        <v>172</v>
      </c>
      <c r="B1365" s="1" t="s">
        <v>19</v>
      </c>
      <c r="C1365" s="1" t="s">
        <v>31</v>
      </c>
      <c r="D1365">
        <v>3</v>
      </c>
      <c r="E1365">
        <v>5</v>
      </c>
      <c r="F1365">
        <v>1.67</v>
      </c>
      <c r="G1365">
        <v>3</v>
      </c>
      <c r="H1365">
        <v>3</v>
      </c>
      <c r="I1365">
        <v>3</v>
      </c>
      <c r="J1365" s="1" t="s">
        <v>15</v>
      </c>
      <c r="K1365">
        <v>1</v>
      </c>
      <c r="L1365">
        <v>0</v>
      </c>
      <c r="M1365" t="str">
        <f>IF(tblPenalties[[#This Row],[total_yards]]=0, "Declined", "Accepted")</f>
        <v>Accepted</v>
      </c>
    </row>
    <row r="1366" spans="1:13" x14ac:dyDescent="0.25">
      <c r="A1366" s="1" t="s">
        <v>172</v>
      </c>
      <c r="B1366" s="1" t="s">
        <v>19</v>
      </c>
      <c r="C1366" s="1" t="s">
        <v>114</v>
      </c>
      <c r="D1366">
        <v>3</v>
      </c>
      <c r="E1366">
        <v>15</v>
      </c>
      <c r="F1366">
        <v>5</v>
      </c>
      <c r="G1366">
        <v>3</v>
      </c>
      <c r="H1366">
        <v>3</v>
      </c>
      <c r="I1366">
        <v>3</v>
      </c>
      <c r="J1366" s="1" t="s">
        <v>115</v>
      </c>
      <c r="K1366">
        <v>1</v>
      </c>
      <c r="L1366">
        <v>0</v>
      </c>
      <c r="M1366" t="str">
        <f>IF(tblPenalties[[#This Row],[total_yards]]=0, "Declined", "Accepted")</f>
        <v>Accepted</v>
      </c>
    </row>
    <row r="1367" spans="1:13" x14ac:dyDescent="0.25">
      <c r="A1367" s="1" t="s">
        <v>172</v>
      </c>
      <c r="B1367" s="1" t="s">
        <v>19</v>
      </c>
      <c r="C1367" s="1" t="s">
        <v>122</v>
      </c>
      <c r="D1367">
        <v>1</v>
      </c>
      <c r="E1367">
        <v>1</v>
      </c>
      <c r="F1367">
        <v>1</v>
      </c>
      <c r="G1367">
        <v>3</v>
      </c>
      <c r="H1367">
        <v>3</v>
      </c>
      <c r="I1367">
        <v>3</v>
      </c>
      <c r="J1367" s="1" t="s">
        <v>113</v>
      </c>
      <c r="K1367">
        <v>1</v>
      </c>
      <c r="L1367">
        <v>0</v>
      </c>
      <c r="M1367" t="str">
        <f>IF(tblPenalties[[#This Row],[total_yards]]=0, "Declined", "Accepted")</f>
        <v>Accepted</v>
      </c>
    </row>
    <row r="1368" spans="1:13" x14ac:dyDescent="0.25">
      <c r="A1368" s="1" t="s">
        <v>172</v>
      </c>
      <c r="B1368" s="1" t="s">
        <v>19</v>
      </c>
      <c r="C1368" s="1" t="s">
        <v>23</v>
      </c>
      <c r="D1368">
        <v>1</v>
      </c>
      <c r="E1368">
        <v>5</v>
      </c>
      <c r="F1368">
        <v>5</v>
      </c>
      <c r="G1368">
        <v>3</v>
      </c>
      <c r="H1368">
        <v>3</v>
      </c>
      <c r="I1368">
        <v>3</v>
      </c>
      <c r="J1368" s="1" t="s">
        <v>15</v>
      </c>
      <c r="K1368">
        <v>1</v>
      </c>
      <c r="L1368">
        <v>0</v>
      </c>
      <c r="M1368" t="str">
        <f>IF(tblPenalties[[#This Row],[total_yards]]=0, "Declined", "Accepted")</f>
        <v>Accepted</v>
      </c>
    </row>
    <row r="1369" spans="1:13" x14ac:dyDescent="0.25">
      <c r="A1369" s="1" t="s">
        <v>172</v>
      </c>
      <c r="B1369" s="1" t="s">
        <v>19</v>
      </c>
      <c r="C1369" s="1" t="s">
        <v>128</v>
      </c>
      <c r="D1369">
        <v>1</v>
      </c>
      <c r="E1369">
        <v>15</v>
      </c>
      <c r="F1369">
        <v>15</v>
      </c>
      <c r="G1369">
        <v>3</v>
      </c>
      <c r="H1369">
        <v>3</v>
      </c>
      <c r="I1369">
        <v>3</v>
      </c>
      <c r="J1369" s="1" t="s">
        <v>115</v>
      </c>
      <c r="K1369">
        <v>1</v>
      </c>
      <c r="L1369">
        <v>0</v>
      </c>
      <c r="M1369" t="str">
        <f>IF(tblPenalties[[#This Row],[total_yards]]=0, "Declined", "Accepted")</f>
        <v>Accepted</v>
      </c>
    </row>
    <row r="1370" spans="1:13" x14ac:dyDescent="0.25">
      <c r="A1370" s="1" t="s">
        <v>173</v>
      </c>
      <c r="B1370" s="1" t="s">
        <v>17</v>
      </c>
      <c r="C1370" s="1" t="s">
        <v>14</v>
      </c>
      <c r="D1370">
        <v>23</v>
      </c>
      <c r="E1370">
        <v>80</v>
      </c>
      <c r="F1370">
        <v>3.48</v>
      </c>
      <c r="G1370">
        <v>8</v>
      </c>
      <c r="H1370">
        <v>8</v>
      </c>
      <c r="I1370">
        <v>6</v>
      </c>
      <c r="J1370" s="1" t="s">
        <v>15</v>
      </c>
      <c r="K1370">
        <v>1</v>
      </c>
      <c r="L1370">
        <v>0</v>
      </c>
      <c r="M1370" t="str">
        <f>IF(tblPenalties[[#This Row],[total_yards]]=0, "Declined", "Accepted")</f>
        <v>Accepted</v>
      </c>
    </row>
    <row r="1371" spans="1:13" x14ac:dyDescent="0.25">
      <c r="A1371" s="1" t="s">
        <v>173</v>
      </c>
      <c r="B1371" s="1" t="s">
        <v>17</v>
      </c>
      <c r="C1371" s="1" t="s">
        <v>129</v>
      </c>
      <c r="D1371">
        <v>15</v>
      </c>
      <c r="E1371">
        <v>106</v>
      </c>
      <c r="F1371">
        <v>7.07</v>
      </c>
      <c r="G1371">
        <v>8</v>
      </c>
      <c r="H1371">
        <v>8</v>
      </c>
      <c r="I1371">
        <v>6</v>
      </c>
      <c r="J1371" s="1" t="s">
        <v>130</v>
      </c>
      <c r="K1371">
        <v>1</v>
      </c>
      <c r="L1371">
        <v>0</v>
      </c>
      <c r="M1371" t="str">
        <f>IF(tblPenalties[[#This Row],[total_yards]]=0, "Declined", "Accepted")</f>
        <v>Accepted</v>
      </c>
    </row>
    <row r="1372" spans="1:13" x14ac:dyDescent="0.25">
      <c r="A1372" s="1" t="s">
        <v>173</v>
      </c>
      <c r="B1372" s="1" t="s">
        <v>17</v>
      </c>
      <c r="C1372" s="1" t="s">
        <v>112</v>
      </c>
      <c r="D1372">
        <v>7</v>
      </c>
      <c r="E1372">
        <v>27</v>
      </c>
      <c r="F1372">
        <v>3.86</v>
      </c>
      <c r="G1372">
        <v>8</v>
      </c>
      <c r="H1372">
        <v>8</v>
      </c>
      <c r="I1372">
        <v>6</v>
      </c>
      <c r="J1372" s="1" t="s">
        <v>113</v>
      </c>
      <c r="K1372">
        <v>1</v>
      </c>
      <c r="L1372">
        <v>0</v>
      </c>
      <c r="M1372" t="str">
        <f>IF(tblPenalties[[#This Row],[total_yards]]=0, "Declined", "Accepted")</f>
        <v>Accepted</v>
      </c>
    </row>
    <row r="1373" spans="1:13" x14ac:dyDescent="0.25">
      <c r="A1373" s="1" t="s">
        <v>173</v>
      </c>
      <c r="B1373" s="1" t="s">
        <v>17</v>
      </c>
      <c r="C1373" s="1" t="s">
        <v>31</v>
      </c>
      <c r="D1373">
        <v>6</v>
      </c>
      <c r="E1373">
        <v>70</v>
      </c>
      <c r="F1373">
        <v>11.67</v>
      </c>
      <c r="G1373">
        <v>8</v>
      </c>
      <c r="H1373">
        <v>8</v>
      </c>
      <c r="I1373">
        <v>6</v>
      </c>
      <c r="J1373" s="1" t="s">
        <v>15</v>
      </c>
      <c r="K1373">
        <v>1</v>
      </c>
      <c r="L1373">
        <v>0</v>
      </c>
      <c r="M1373" t="str">
        <f>IF(tblPenalties[[#This Row],[total_yards]]=0, "Declined", "Accepted")</f>
        <v>Accepted</v>
      </c>
    </row>
    <row r="1374" spans="1:13" x14ac:dyDescent="0.25">
      <c r="A1374" s="1" t="s">
        <v>173</v>
      </c>
      <c r="B1374" s="1" t="s">
        <v>17</v>
      </c>
      <c r="C1374" s="1" t="s">
        <v>117</v>
      </c>
      <c r="D1374">
        <v>5</v>
      </c>
      <c r="E1374">
        <v>56</v>
      </c>
      <c r="F1374">
        <v>11.2</v>
      </c>
      <c r="G1374">
        <v>8</v>
      </c>
      <c r="H1374">
        <v>8</v>
      </c>
      <c r="I1374">
        <v>6</v>
      </c>
      <c r="J1374" s="1" t="s">
        <v>118</v>
      </c>
      <c r="K1374">
        <v>1</v>
      </c>
      <c r="L1374">
        <v>0</v>
      </c>
      <c r="M1374" t="str">
        <f>IF(tblPenalties[[#This Row],[total_yards]]=0, "Declined", "Accepted")</f>
        <v>Accepted</v>
      </c>
    </row>
    <row r="1375" spans="1:13" x14ac:dyDescent="0.25">
      <c r="A1375" s="1" t="s">
        <v>173</v>
      </c>
      <c r="B1375" s="1" t="s">
        <v>17</v>
      </c>
      <c r="C1375" s="1" t="s">
        <v>122</v>
      </c>
      <c r="D1375">
        <v>2</v>
      </c>
      <c r="E1375">
        <v>17</v>
      </c>
      <c r="F1375">
        <v>8.5</v>
      </c>
      <c r="G1375">
        <v>8</v>
      </c>
      <c r="H1375">
        <v>8</v>
      </c>
      <c r="I1375">
        <v>6</v>
      </c>
      <c r="J1375" s="1" t="s">
        <v>113</v>
      </c>
      <c r="K1375">
        <v>1</v>
      </c>
      <c r="L1375">
        <v>0</v>
      </c>
      <c r="M1375" t="str">
        <f>IF(tblPenalties[[#This Row],[total_yards]]=0, "Declined", "Accepted")</f>
        <v>Accepted</v>
      </c>
    </row>
    <row r="1376" spans="1:13" x14ac:dyDescent="0.25">
      <c r="A1376" s="1" t="s">
        <v>173</v>
      </c>
      <c r="B1376" s="1" t="s">
        <v>17</v>
      </c>
      <c r="C1376" s="1" t="s">
        <v>115</v>
      </c>
      <c r="D1376">
        <v>2</v>
      </c>
      <c r="E1376">
        <v>15</v>
      </c>
      <c r="F1376">
        <v>7.5</v>
      </c>
      <c r="G1376">
        <v>8</v>
      </c>
      <c r="H1376">
        <v>8</v>
      </c>
      <c r="I1376">
        <v>6</v>
      </c>
      <c r="J1376" s="1" t="s">
        <v>115</v>
      </c>
      <c r="K1376">
        <v>1</v>
      </c>
      <c r="L1376">
        <v>0</v>
      </c>
      <c r="M1376" t="str">
        <f>IF(tblPenalties[[#This Row],[total_yards]]=0, "Declined", "Accepted")</f>
        <v>Accepted</v>
      </c>
    </row>
    <row r="1377" spans="1:13" x14ac:dyDescent="0.25">
      <c r="A1377" s="1" t="s">
        <v>173</v>
      </c>
      <c r="B1377" s="1" t="s">
        <v>17</v>
      </c>
      <c r="C1377" s="1" t="s">
        <v>114</v>
      </c>
      <c r="D1377">
        <v>2</v>
      </c>
      <c r="E1377">
        <v>27</v>
      </c>
      <c r="F1377">
        <v>13.5</v>
      </c>
      <c r="G1377">
        <v>8</v>
      </c>
      <c r="H1377">
        <v>8</v>
      </c>
      <c r="I1377">
        <v>6</v>
      </c>
      <c r="J1377" s="1" t="s">
        <v>115</v>
      </c>
      <c r="K1377">
        <v>1</v>
      </c>
      <c r="L1377">
        <v>0</v>
      </c>
      <c r="M1377" t="str">
        <f>IF(tblPenalties[[#This Row],[total_yards]]=0, "Declined", "Accepted")</f>
        <v>Accepted</v>
      </c>
    </row>
    <row r="1378" spans="1:13" x14ac:dyDescent="0.25">
      <c r="A1378" s="1" t="s">
        <v>173</v>
      </c>
      <c r="B1378" s="1" t="s">
        <v>17</v>
      </c>
      <c r="C1378" s="1" t="s">
        <v>49</v>
      </c>
      <c r="D1378">
        <v>1</v>
      </c>
      <c r="E1378">
        <v>1</v>
      </c>
      <c r="F1378">
        <v>1</v>
      </c>
      <c r="G1378">
        <v>8</v>
      </c>
      <c r="H1378">
        <v>8</v>
      </c>
      <c r="I1378">
        <v>6</v>
      </c>
      <c r="J1378" s="1" t="s">
        <v>15</v>
      </c>
      <c r="K1378">
        <v>1</v>
      </c>
      <c r="L1378">
        <v>0</v>
      </c>
      <c r="M1378" t="str">
        <f>IF(tblPenalties[[#This Row],[total_yards]]=0, "Declined", "Accepted")</f>
        <v>Accepted</v>
      </c>
    </row>
    <row r="1379" spans="1:13" x14ac:dyDescent="0.25">
      <c r="A1379" s="1" t="s">
        <v>173</v>
      </c>
      <c r="B1379" s="1" t="s">
        <v>17</v>
      </c>
      <c r="C1379" s="1" t="s">
        <v>128</v>
      </c>
      <c r="D1379">
        <v>1</v>
      </c>
      <c r="E1379">
        <v>12</v>
      </c>
      <c r="F1379">
        <v>12</v>
      </c>
      <c r="G1379">
        <v>8</v>
      </c>
      <c r="H1379">
        <v>8</v>
      </c>
      <c r="I1379">
        <v>6</v>
      </c>
      <c r="J1379" s="1" t="s">
        <v>115</v>
      </c>
      <c r="K1379">
        <v>1</v>
      </c>
      <c r="L1379">
        <v>0</v>
      </c>
      <c r="M1379" t="str">
        <f>IF(tblPenalties[[#This Row],[total_yards]]=0, "Declined", "Accepted")</f>
        <v>Accepted</v>
      </c>
    </row>
    <row r="1380" spans="1:13" x14ac:dyDescent="0.25">
      <c r="A1380" s="1" t="s">
        <v>174</v>
      </c>
      <c r="B1380" s="1" t="s">
        <v>52</v>
      </c>
      <c r="C1380" s="1" t="s">
        <v>117</v>
      </c>
      <c r="D1380">
        <v>15</v>
      </c>
      <c r="E1380">
        <v>176</v>
      </c>
      <c r="F1380">
        <v>11.73</v>
      </c>
      <c r="G1380">
        <v>17</v>
      </c>
      <c r="H1380">
        <v>18</v>
      </c>
      <c r="I1380">
        <v>17</v>
      </c>
      <c r="J1380" s="1" t="s">
        <v>118</v>
      </c>
      <c r="K1380">
        <v>1</v>
      </c>
      <c r="L1380">
        <v>0</v>
      </c>
      <c r="M1380" t="str">
        <f>IF(tblPenalties[[#This Row],[total_yards]]=0, "Declined", "Accepted")</f>
        <v>Accepted</v>
      </c>
    </row>
    <row r="1381" spans="1:13" x14ac:dyDescent="0.25">
      <c r="A1381" s="1" t="s">
        <v>174</v>
      </c>
      <c r="B1381" s="1" t="s">
        <v>52</v>
      </c>
      <c r="C1381" s="1" t="s">
        <v>112</v>
      </c>
      <c r="D1381">
        <v>13</v>
      </c>
      <c r="E1381">
        <v>135</v>
      </c>
      <c r="F1381">
        <v>10.38</v>
      </c>
      <c r="G1381">
        <v>17</v>
      </c>
      <c r="H1381">
        <v>18</v>
      </c>
      <c r="I1381">
        <v>17</v>
      </c>
      <c r="J1381" s="1" t="s">
        <v>113</v>
      </c>
      <c r="K1381">
        <v>1</v>
      </c>
      <c r="L1381">
        <v>0</v>
      </c>
      <c r="M1381" t="str">
        <f>IF(tblPenalties[[#This Row],[total_yards]]=0, "Declined", "Accepted")</f>
        <v>Accepted</v>
      </c>
    </row>
    <row r="1382" spans="1:13" x14ac:dyDescent="0.25">
      <c r="A1382" s="1" t="s">
        <v>174</v>
      </c>
      <c r="B1382" s="1" t="s">
        <v>52</v>
      </c>
      <c r="C1382" s="1" t="s">
        <v>14</v>
      </c>
      <c r="D1382">
        <v>8</v>
      </c>
      <c r="E1382">
        <v>39</v>
      </c>
      <c r="F1382">
        <v>4.88</v>
      </c>
      <c r="G1382">
        <v>17</v>
      </c>
      <c r="H1382">
        <v>18</v>
      </c>
      <c r="I1382">
        <v>17</v>
      </c>
      <c r="J1382" s="1" t="s">
        <v>15</v>
      </c>
      <c r="K1382">
        <v>1</v>
      </c>
      <c r="L1382">
        <v>0</v>
      </c>
      <c r="M1382" t="str">
        <f>IF(tblPenalties[[#This Row],[total_yards]]=0, "Declined", "Accepted")</f>
        <v>Accepted</v>
      </c>
    </row>
    <row r="1383" spans="1:13" x14ac:dyDescent="0.25">
      <c r="A1383" s="1" t="s">
        <v>174</v>
      </c>
      <c r="B1383" s="1" t="s">
        <v>52</v>
      </c>
      <c r="C1383" s="1" t="s">
        <v>129</v>
      </c>
      <c r="D1383">
        <v>5</v>
      </c>
      <c r="E1383">
        <v>21</v>
      </c>
      <c r="F1383">
        <v>4.2</v>
      </c>
      <c r="G1383">
        <v>17</v>
      </c>
      <c r="H1383">
        <v>18</v>
      </c>
      <c r="I1383">
        <v>17</v>
      </c>
      <c r="J1383" s="1" t="s">
        <v>130</v>
      </c>
      <c r="K1383">
        <v>1</v>
      </c>
      <c r="L1383">
        <v>0</v>
      </c>
      <c r="M1383" t="str">
        <f>IF(tblPenalties[[#This Row],[total_yards]]=0, "Declined", "Accepted")</f>
        <v>Accepted</v>
      </c>
    </row>
    <row r="1384" spans="1:13" x14ac:dyDescent="0.25">
      <c r="A1384" s="1" t="s">
        <v>174</v>
      </c>
      <c r="B1384" s="1" t="s">
        <v>52</v>
      </c>
      <c r="C1384" s="1" t="s">
        <v>22</v>
      </c>
      <c r="D1384">
        <v>4</v>
      </c>
      <c r="E1384">
        <v>21</v>
      </c>
      <c r="F1384">
        <v>5.25</v>
      </c>
      <c r="G1384">
        <v>17</v>
      </c>
      <c r="H1384">
        <v>18</v>
      </c>
      <c r="I1384">
        <v>17</v>
      </c>
      <c r="J1384" s="1" t="s">
        <v>15</v>
      </c>
      <c r="K1384">
        <v>1</v>
      </c>
      <c r="L1384">
        <v>0</v>
      </c>
      <c r="M1384" t="str">
        <f>IF(tblPenalties[[#This Row],[total_yards]]=0, "Declined", "Accepted")</f>
        <v>Accepted</v>
      </c>
    </row>
    <row r="1385" spans="1:13" x14ac:dyDescent="0.25">
      <c r="A1385" s="1" t="s">
        <v>174</v>
      </c>
      <c r="B1385" s="1" t="s">
        <v>52</v>
      </c>
      <c r="C1385" s="1" t="s">
        <v>31</v>
      </c>
      <c r="D1385">
        <v>4</v>
      </c>
      <c r="E1385">
        <v>27</v>
      </c>
      <c r="F1385">
        <v>6.75</v>
      </c>
      <c r="G1385">
        <v>17</v>
      </c>
      <c r="H1385">
        <v>18</v>
      </c>
      <c r="I1385">
        <v>17</v>
      </c>
      <c r="J1385" s="1" t="s">
        <v>15</v>
      </c>
      <c r="K1385">
        <v>1</v>
      </c>
      <c r="L1385">
        <v>0</v>
      </c>
      <c r="M1385" t="str">
        <f>IF(tblPenalties[[#This Row],[total_yards]]=0, "Declined", "Accepted")</f>
        <v>Accepted</v>
      </c>
    </row>
    <row r="1386" spans="1:13" x14ac:dyDescent="0.25">
      <c r="A1386" s="1" t="s">
        <v>174</v>
      </c>
      <c r="B1386" s="1" t="s">
        <v>52</v>
      </c>
      <c r="C1386" s="1" t="s">
        <v>23</v>
      </c>
      <c r="D1386">
        <v>3</v>
      </c>
      <c r="E1386">
        <v>46</v>
      </c>
      <c r="F1386">
        <v>15.33</v>
      </c>
      <c r="G1386">
        <v>17</v>
      </c>
      <c r="H1386">
        <v>18</v>
      </c>
      <c r="I1386">
        <v>17</v>
      </c>
      <c r="J1386" s="1" t="s">
        <v>15</v>
      </c>
      <c r="K1386">
        <v>1</v>
      </c>
      <c r="L1386">
        <v>0</v>
      </c>
      <c r="M1386" t="str">
        <f>IF(tblPenalties[[#This Row],[total_yards]]=0, "Declined", "Accepted")</f>
        <v>Accepted</v>
      </c>
    </row>
    <row r="1387" spans="1:13" x14ac:dyDescent="0.25">
      <c r="A1387" s="1" t="s">
        <v>174</v>
      </c>
      <c r="B1387" s="1" t="s">
        <v>52</v>
      </c>
      <c r="C1387" s="1" t="s">
        <v>122</v>
      </c>
      <c r="D1387">
        <v>2</v>
      </c>
      <c r="E1387">
        <v>14</v>
      </c>
      <c r="F1387">
        <v>7</v>
      </c>
      <c r="G1387">
        <v>17</v>
      </c>
      <c r="H1387">
        <v>18</v>
      </c>
      <c r="I1387">
        <v>17</v>
      </c>
      <c r="J1387" s="1" t="s">
        <v>113</v>
      </c>
      <c r="K1387">
        <v>1</v>
      </c>
      <c r="L1387">
        <v>0</v>
      </c>
      <c r="M1387" t="str">
        <f>IF(tblPenalties[[#This Row],[total_yards]]=0, "Declined", "Accepted")</f>
        <v>Accepted</v>
      </c>
    </row>
    <row r="1388" spans="1:13" x14ac:dyDescent="0.25">
      <c r="A1388" s="1" t="s">
        <v>174</v>
      </c>
      <c r="B1388" s="1" t="s">
        <v>52</v>
      </c>
      <c r="C1388" s="1" t="s">
        <v>114</v>
      </c>
      <c r="D1388">
        <v>2</v>
      </c>
      <c r="E1388">
        <v>1</v>
      </c>
      <c r="F1388">
        <v>0.5</v>
      </c>
      <c r="G1388">
        <v>17</v>
      </c>
      <c r="H1388">
        <v>18</v>
      </c>
      <c r="I1388">
        <v>17</v>
      </c>
      <c r="J1388" s="1" t="s">
        <v>115</v>
      </c>
      <c r="K1388">
        <v>1</v>
      </c>
      <c r="L1388">
        <v>0</v>
      </c>
      <c r="M1388" t="str">
        <f>IF(tblPenalties[[#This Row],[total_yards]]=0, "Declined", "Accepted")</f>
        <v>Accepted</v>
      </c>
    </row>
    <row r="1389" spans="1:13" x14ac:dyDescent="0.25">
      <c r="A1389" s="1" t="s">
        <v>174</v>
      </c>
      <c r="B1389" s="1" t="s">
        <v>52</v>
      </c>
      <c r="C1389" s="1" t="s">
        <v>115</v>
      </c>
      <c r="D1389">
        <v>1</v>
      </c>
      <c r="E1389">
        <v>0</v>
      </c>
      <c r="F1389">
        <v>0</v>
      </c>
      <c r="G1389">
        <v>17</v>
      </c>
      <c r="H1389">
        <v>18</v>
      </c>
      <c r="I1389">
        <v>17</v>
      </c>
      <c r="J1389" s="1" t="s">
        <v>115</v>
      </c>
      <c r="K1389">
        <v>0</v>
      </c>
      <c r="L1389">
        <v>1</v>
      </c>
      <c r="M1389" t="str">
        <f>IF(tblPenalties[[#This Row],[total_yards]]=0, "Declined", "Accepted")</f>
        <v>Declined</v>
      </c>
    </row>
    <row r="1390" spans="1:13" x14ac:dyDescent="0.25">
      <c r="A1390" s="1" t="s">
        <v>175</v>
      </c>
      <c r="B1390" s="1" t="s">
        <v>17</v>
      </c>
      <c r="C1390" s="1" t="s">
        <v>117</v>
      </c>
      <c r="D1390">
        <v>13</v>
      </c>
      <c r="E1390">
        <v>87</v>
      </c>
      <c r="F1390">
        <v>6.69</v>
      </c>
      <c r="G1390">
        <v>15</v>
      </c>
      <c r="H1390">
        <v>15</v>
      </c>
      <c r="I1390">
        <v>13</v>
      </c>
      <c r="J1390" s="1" t="s">
        <v>118</v>
      </c>
      <c r="K1390">
        <v>1</v>
      </c>
      <c r="L1390">
        <v>0</v>
      </c>
      <c r="M1390" t="str">
        <f>IF(tblPenalties[[#This Row],[total_yards]]=0, "Declined", "Accepted")</f>
        <v>Accepted</v>
      </c>
    </row>
    <row r="1391" spans="1:13" x14ac:dyDescent="0.25">
      <c r="A1391" s="1" t="s">
        <v>175</v>
      </c>
      <c r="B1391" s="1" t="s">
        <v>17</v>
      </c>
      <c r="C1391" s="1" t="s">
        <v>129</v>
      </c>
      <c r="D1391">
        <v>11</v>
      </c>
      <c r="E1391">
        <v>61</v>
      </c>
      <c r="F1391">
        <v>5.55</v>
      </c>
      <c r="G1391">
        <v>15</v>
      </c>
      <c r="H1391">
        <v>15</v>
      </c>
      <c r="I1391">
        <v>13</v>
      </c>
      <c r="J1391" s="1" t="s">
        <v>130</v>
      </c>
      <c r="K1391">
        <v>1</v>
      </c>
      <c r="L1391">
        <v>0</v>
      </c>
      <c r="M1391" t="str">
        <f>IF(tblPenalties[[#This Row],[total_yards]]=0, "Declined", "Accepted")</f>
        <v>Accepted</v>
      </c>
    </row>
    <row r="1392" spans="1:13" x14ac:dyDescent="0.25">
      <c r="A1392" s="1" t="s">
        <v>175</v>
      </c>
      <c r="B1392" s="1" t="s">
        <v>17</v>
      </c>
      <c r="C1392" s="1" t="s">
        <v>112</v>
      </c>
      <c r="D1392">
        <v>10</v>
      </c>
      <c r="E1392">
        <v>37</v>
      </c>
      <c r="F1392">
        <v>3.7</v>
      </c>
      <c r="G1392">
        <v>15</v>
      </c>
      <c r="H1392">
        <v>15</v>
      </c>
      <c r="I1392">
        <v>13</v>
      </c>
      <c r="J1392" s="1" t="s">
        <v>113</v>
      </c>
      <c r="K1392">
        <v>1</v>
      </c>
      <c r="L1392">
        <v>0</v>
      </c>
      <c r="M1392" t="str">
        <f>IF(tblPenalties[[#This Row],[total_yards]]=0, "Declined", "Accepted")</f>
        <v>Accepted</v>
      </c>
    </row>
    <row r="1393" spans="1:13" x14ac:dyDescent="0.25">
      <c r="A1393" s="1" t="s">
        <v>175</v>
      </c>
      <c r="B1393" s="1" t="s">
        <v>17</v>
      </c>
      <c r="C1393" s="1" t="s">
        <v>14</v>
      </c>
      <c r="D1393">
        <v>9</v>
      </c>
      <c r="E1393">
        <v>26</v>
      </c>
      <c r="F1393">
        <v>2.89</v>
      </c>
      <c r="G1393">
        <v>15</v>
      </c>
      <c r="H1393">
        <v>15</v>
      </c>
      <c r="I1393">
        <v>13</v>
      </c>
      <c r="J1393" s="1" t="s">
        <v>15</v>
      </c>
      <c r="K1393">
        <v>1</v>
      </c>
      <c r="L1393">
        <v>0</v>
      </c>
      <c r="M1393" t="str">
        <f>IF(tblPenalties[[#This Row],[total_yards]]=0, "Declined", "Accepted")</f>
        <v>Accepted</v>
      </c>
    </row>
    <row r="1394" spans="1:13" x14ac:dyDescent="0.25">
      <c r="A1394" s="1" t="s">
        <v>175</v>
      </c>
      <c r="B1394" s="1" t="s">
        <v>17</v>
      </c>
      <c r="C1394" s="1" t="s">
        <v>115</v>
      </c>
      <c r="D1394">
        <v>5</v>
      </c>
      <c r="E1394">
        <v>17</v>
      </c>
      <c r="F1394">
        <v>3.4</v>
      </c>
      <c r="G1394">
        <v>15</v>
      </c>
      <c r="H1394">
        <v>15</v>
      </c>
      <c r="I1394">
        <v>13</v>
      </c>
      <c r="J1394" s="1" t="s">
        <v>115</v>
      </c>
      <c r="K1394">
        <v>1</v>
      </c>
      <c r="L1394">
        <v>0</v>
      </c>
      <c r="M1394" t="str">
        <f>IF(tblPenalties[[#This Row],[total_yards]]=0, "Declined", "Accepted")</f>
        <v>Accepted</v>
      </c>
    </row>
    <row r="1395" spans="1:13" x14ac:dyDescent="0.25">
      <c r="A1395" s="1" t="s">
        <v>175</v>
      </c>
      <c r="B1395" s="1" t="s">
        <v>17</v>
      </c>
      <c r="C1395" s="1" t="s">
        <v>122</v>
      </c>
      <c r="D1395">
        <v>3</v>
      </c>
      <c r="E1395">
        <v>26</v>
      </c>
      <c r="F1395">
        <v>8.67</v>
      </c>
      <c r="G1395">
        <v>15</v>
      </c>
      <c r="H1395">
        <v>15</v>
      </c>
      <c r="I1395">
        <v>13</v>
      </c>
      <c r="J1395" s="1" t="s">
        <v>113</v>
      </c>
      <c r="K1395">
        <v>1</v>
      </c>
      <c r="L1395">
        <v>0</v>
      </c>
      <c r="M1395" t="str">
        <f>IF(tblPenalties[[#This Row],[total_yards]]=0, "Declined", "Accepted")</f>
        <v>Accepted</v>
      </c>
    </row>
    <row r="1396" spans="1:13" x14ac:dyDescent="0.25">
      <c r="A1396" s="1" t="s">
        <v>175</v>
      </c>
      <c r="B1396" s="1" t="s">
        <v>17</v>
      </c>
      <c r="C1396" s="1" t="s">
        <v>22</v>
      </c>
      <c r="D1396">
        <v>2</v>
      </c>
      <c r="E1396">
        <v>10</v>
      </c>
      <c r="F1396">
        <v>5</v>
      </c>
      <c r="G1396">
        <v>15</v>
      </c>
      <c r="H1396">
        <v>15</v>
      </c>
      <c r="I1396">
        <v>13</v>
      </c>
      <c r="J1396" s="1" t="s">
        <v>15</v>
      </c>
      <c r="K1396">
        <v>1</v>
      </c>
      <c r="L1396">
        <v>0</v>
      </c>
      <c r="M1396" t="str">
        <f>IF(tblPenalties[[#This Row],[total_yards]]=0, "Declined", "Accepted")</f>
        <v>Accepted</v>
      </c>
    </row>
    <row r="1397" spans="1:13" x14ac:dyDescent="0.25">
      <c r="A1397" s="1" t="s">
        <v>175</v>
      </c>
      <c r="B1397" s="1" t="s">
        <v>17</v>
      </c>
      <c r="C1397" s="1" t="s">
        <v>31</v>
      </c>
      <c r="D1397">
        <v>2</v>
      </c>
      <c r="E1397">
        <v>6</v>
      </c>
      <c r="F1397">
        <v>3</v>
      </c>
      <c r="G1397">
        <v>15</v>
      </c>
      <c r="H1397">
        <v>15</v>
      </c>
      <c r="I1397">
        <v>13</v>
      </c>
      <c r="J1397" s="1" t="s">
        <v>15</v>
      </c>
      <c r="K1397">
        <v>1</v>
      </c>
      <c r="L1397">
        <v>0</v>
      </c>
      <c r="M1397" t="str">
        <f>IF(tblPenalties[[#This Row],[total_yards]]=0, "Declined", "Accepted")</f>
        <v>Accepted</v>
      </c>
    </row>
    <row r="1398" spans="1:13" x14ac:dyDescent="0.25">
      <c r="A1398" s="1" t="s">
        <v>175</v>
      </c>
      <c r="B1398" s="1" t="s">
        <v>17</v>
      </c>
      <c r="C1398" s="1" t="s">
        <v>49</v>
      </c>
      <c r="D1398">
        <v>1</v>
      </c>
      <c r="E1398">
        <v>6</v>
      </c>
      <c r="F1398">
        <v>6</v>
      </c>
      <c r="G1398">
        <v>15</v>
      </c>
      <c r="H1398">
        <v>15</v>
      </c>
      <c r="I1398">
        <v>13</v>
      </c>
      <c r="J1398" s="1" t="s">
        <v>15</v>
      </c>
      <c r="K1398">
        <v>1</v>
      </c>
      <c r="L1398">
        <v>0</v>
      </c>
      <c r="M1398" t="str">
        <f>IF(tblPenalties[[#This Row],[total_yards]]=0, "Declined", "Accepted")</f>
        <v>Accepted</v>
      </c>
    </row>
    <row r="1399" spans="1:13" x14ac:dyDescent="0.25">
      <c r="A1399" s="1" t="s">
        <v>175</v>
      </c>
      <c r="B1399" s="1" t="s">
        <v>17</v>
      </c>
      <c r="C1399" s="1" t="s">
        <v>114</v>
      </c>
      <c r="D1399">
        <v>1</v>
      </c>
      <c r="E1399">
        <v>15</v>
      </c>
      <c r="F1399">
        <v>15</v>
      </c>
      <c r="G1399">
        <v>15</v>
      </c>
      <c r="H1399">
        <v>15</v>
      </c>
      <c r="I1399">
        <v>13</v>
      </c>
      <c r="J1399" s="1" t="s">
        <v>115</v>
      </c>
      <c r="K1399">
        <v>1</v>
      </c>
      <c r="L1399">
        <v>0</v>
      </c>
      <c r="M1399" t="str">
        <f>IF(tblPenalties[[#This Row],[total_yards]]=0, "Declined", "Accepted")</f>
        <v>Accepted</v>
      </c>
    </row>
    <row r="1400" spans="1:13" x14ac:dyDescent="0.25">
      <c r="A1400" s="1" t="s">
        <v>176</v>
      </c>
      <c r="B1400" s="1" t="s">
        <v>19</v>
      </c>
      <c r="C1400" s="1" t="s">
        <v>129</v>
      </c>
      <c r="D1400">
        <v>22</v>
      </c>
      <c r="E1400">
        <v>186</v>
      </c>
      <c r="F1400">
        <v>8.4499999999999993</v>
      </c>
      <c r="G1400">
        <v>13</v>
      </c>
      <c r="H1400">
        <v>14</v>
      </c>
      <c r="I1400">
        <v>14</v>
      </c>
      <c r="J1400" s="1" t="s">
        <v>130</v>
      </c>
      <c r="K1400">
        <v>1</v>
      </c>
      <c r="L1400">
        <v>0</v>
      </c>
      <c r="M1400" t="str">
        <f>IF(tblPenalties[[#This Row],[total_yards]]=0, "Declined", "Accepted")</f>
        <v>Accepted</v>
      </c>
    </row>
    <row r="1401" spans="1:13" x14ac:dyDescent="0.25">
      <c r="A1401" s="1" t="s">
        <v>176</v>
      </c>
      <c r="B1401" s="1" t="s">
        <v>19</v>
      </c>
      <c r="C1401" s="1" t="s">
        <v>14</v>
      </c>
      <c r="D1401">
        <v>13</v>
      </c>
      <c r="E1401">
        <v>53</v>
      </c>
      <c r="F1401">
        <v>4.08</v>
      </c>
      <c r="G1401">
        <v>13</v>
      </c>
      <c r="H1401">
        <v>14</v>
      </c>
      <c r="I1401">
        <v>14</v>
      </c>
      <c r="J1401" s="1" t="s">
        <v>15</v>
      </c>
      <c r="K1401">
        <v>1</v>
      </c>
      <c r="L1401">
        <v>0</v>
      </c>
      <c r="M1401" t="str">
        <f>IF(tblPenalties[[#This Row],[total_yards]]=0, "Declined", "Accepted")</f>
        <v>Accepted</v>
      </c>
    </row>
    <row r="1402" spans="1:13" x14ac:dyDescent="0.25">
      <c r="A1402" s="1" t="s">
        <v>176</v>
      </c>
      <c r="B1402" s="1" t="s">
        <v>19</v>
      </c>
      <c r="C1402" s="1" t="s">
        <v>117</v>
      </c>
      <c r="D1402">
        <v>10</v>
      </c>
      <c r="E1402">
        <v>110</v>
      </c>
      <c r="F1402">
        <v>11</v>
      </c>
      <c r="G1402">
        <v>13</v>
      </c>
      <c r="H1402">
        <v>14</v>
      </c>
      <c r="I1402">
        <v>14</v>
      </c>
      <c r="J1402" s="1" t="s">
        <v>118</v>
      </c>
      <c r="K1402">
        <v>1</v>
      </c>
      <c r="L1402">
        <v>0</v>
      </c>
      <c r="M1402" t="str">
        <f>IF(tblPenalties[[#This Row],[total_yards]]=0, "Declined", "Accepted")</f>
        <v>Accepted</v>
      </c>
    </row>
    <row r="1403" spans="1:13" x14ac:dyDescent="0.25">
      <c r="A1403" s="1" t="s">
        <v>176</v>
      </c>
      <c r="B1403" s="1" t="s">
        <v>19</v>
      </c>
      <c r="C1403" s="1" t="s">
        <v>112</v>
      </c>
      <c r="D1403">
        <v>7</v>
      </c>
      <c r="E1403">
        <v>98</v>
      </c>
      <c r="F1403">
        <v>14</v>
      </c>
      <c r="G1403">
        <v>13</v>
      </c>
      <c r="H1403">
        <v>14</v>
      </c>
      <c r="I1403">
        <v>14</v>
      </c>
      <c r="J1403" s="1" t="s">
        <v>113</v>
      </c>
      <c r="K1403">
        <v>1</v>
      </c>
      <c r="L1403">
        <v>0</v>
      </c>
      <c r="M1403" t="str">
        <f>IF(tblPenalties[[#This Row],[total_yards]]=0, "Declined", "Accepted")</f>
        <v>Accepted</v>
      </c>
    </row>
    <row r="1404" spans="1:13" x14ac:dyDescent="0.25">
      <c r="A1404" s="1" t="s">
        <v>176</v>
      </c>
      <c r="B1404" s="1" t="s">
        <v>19</v>
      </c>
      <c r="C1404" s="1" t="s">
        <v>22</v>
      </c>
      <c r="D1404">
        <v>6</v>
      </c>
      <c r="E1404">
        <v>30</v>
      </c>
      <c r="F1404">
        <v>5</v>
      </c>
      <c r="G1404">
        <v>13</v>
      </c>
      <c r="H1404">
        <v>14</v>
      </c>
      <c r="I1404">
        <v>14</v>
      </c>
      <c r="J1404" s="1" t="s">
        <v>15</v>
      </c>
      <c r="K1404">
        <v>1</v>
      </c>
      <c r="L1404">
        <v>0</v>
      </c>
      <c r="M1404" t="str">
        <f>IF(tblPenalties[[#This Row],[total_yards]]=0, "Declined", "Accepted")</f>
        <v>Accepted</v>
      </c>
    </row>
    <row r="1405" spans="1:13" x14ac:dyDescent="0.25">
      <c r="A1405" s="1" t="s">
        <v>176</v>
      </c>
      <c r="B1405" s="1" t="s">
        <v>19</v>
      </c>
      <c r="C1405" s="1" t="s">
        <v>115</v>
      </c>
      <c r="D1405">
        <v>6</v>
      </c>
      <c r="E1405">
        <v>82</v>
      </c>
      <c r="F1405">
        <v>13.67</v>
      </c>
      <c r="G1405">
        <v>13</v>
      </c>
      <c r="H1405">
        <v>14</v>
      </c>
      <c r="I1405">
        <v>14</v>
      </c>
      <c r="J1405" s="1" t="s">
        <v>115</v>
      </c>
      <c r="K1405">
        <v>1</v>
      </c>
      <c r="L1405">
        <v>0</v>
      </c>
      <c r="M1405" t="str">
        <f>IF(tblPenalties[[#This Row],[total_yards]]=0, "Declined", "Accepted")</f>
        <v>Accepted</v>
      </c>
    </row>
    <row r="1406" spans="1:13" x14ac:dyDescent="0.25">
      <c r="A1406" s="1" t="s">
        <v>176</v>
      </c>
      <c r="B1406" s="1" t="s">
        <v>19</v>
      </c>
      <c r="C1406" s="1" t="s">
        <v>128</v>
      </c>
      <c r="D1406">
        <v>5</v>
      </c>
      <c r="E1406">
        <v>30</v>
      </c>
      <c r="F1406">
        <v>6</v>
      </c>
      <c r="G1406">
        <v>13</v>
      </c>
      <c r="H1406">
        <v>14</v>
      </c>
      <c r="I1406">
        <v>14</v>
      </c>
      <c r="J1406" s="1" t="s">
        <v>115</v>
      </c>
      <c r="K1406">
        <v>1</v>
      </c>
      <c r="L1406">
        <v>0</v>
      </c>
      <c r="M1406" t="str">
        <f>IF(tblPenalties[[#This Row],[total_yards]]=0, "Declined", "Accepted")</f>
        <v>Accepted</v>
      </c>
    </row>
    <row r="1407" spans="1:13" x14ac:dyDescent="0.25">
      <c r="A1407" s="1" t="s">
        <v>176</v>
      </c>
      <c r="B1407" s="1" t="s">
        <v>19</v>
      </c>
      <c r="C1407" s="1" t="s">
        <v>122</v>
      </c>
      <c r="D1407">
        <v>4</v>
      </c>
      <c r="E1407">
        <v>21</v>
      </c>
      <c r="F1407">
        <v>5.25</v>
      </c>
      <c r="G1407">
        <v>13</v>
      </c>
      <c r="H1407">
        <v>14</v>
      </c>
      <c r="I1407">
        <v>14</v>
      </c>
      <c r="J1407" s="1" t="s">
        <v>113</v>
      </c>
      <c r="K1407">
        <v>1</v>
      </c>
      <c r="L1407">
        <v>0</v>
      </c>
      <c r="M1407" t="str">
        <f>IF(tblPenalties[[#This Row],[total_yards]]=0, "Declined", "Accepted")</f>
        <v>Accepted</v>
      </c>
    </row>
    <row r="1408" spans="1:13" x14ac:dyDescent="0.25">
      <c r="A1408" s="1" t="s">
        <v>176</v>
      </c>
      <c r="B1408" s="1" t="s">
        <v>19</v>
      </c>
      <c r="C1408" s="1" t="s">
        <v>31</v>
      </c>
      <c r="D1408">
        <v>4</v>
      </c>
      <c r="E1408">
        <v>15</v>
      </c>
      <c r="F1408">
        <v>3.75</v>
      </c>
      <c r="G1408">
        <v>13</v>
      </c>
      <c r="H1408">
        <v>14</v>
      </c>
      <c r="I1408">
        <v>14</v>
      </c>
      <c r="J1408" s="1" t="s">
        <v>15</v>
      </c>
      <c r="K1408">
        <v>1</v>
      </c>
      <c r="L1408">
        <v>0</v>
      </c>
      <c r="M1408" t="str">
        <f>IF(tblPenalties[[#This Row],[total_yards]]=0, "Declined", "Accepted")</f>
        <v>Accepted</v>
      </c>
    </row>
    <row r="1409" spans="1:13" x14ac:dyDescent="0.25">
      <c r="A1409" s="1" t="s">
        <v>176</v>
      </c>
      <c r="B1409" s="1" t="s">
        <v>19</v>
      </c>
      <c r="C1409" s="1" t="s">
        <v>114</v>
      </c>
      <c r="D1409">
        <v>3</v>
      </c>
      <c r="E1409">
        <v>0</v>
      </c>
      <c r="F1409">
        <v>0</v>
      </c>
      <c r="G1409">
        <v>13</v>
      </c>
      <c r="H1409">
        <v>14</v>
      </c>
      <c r="I1409">
        <v>14</v>
      </c>
      <c r="J1409" s="1" t="s">
        <v>115</v>
      </c>
      <c r="K1409">
        <v>0</v>
      </c>
      <c r="L1409">
        <v>1</v>
      </c>
      <c r="M1409" t="str">
        <f>IF(tblPenalties[[#This Row],[total_yards]]=0, "Declined", "Accepted")</f>
        <v>Declined</v>
      </c>
    </row>
    <row r="1410" spans="1:13" x14ac:dyDescent="0.25">
      <c r="A1410" s="1" t="s">
        <v>176</v>
      </c>
      <c r="B1410" s="1" t="s">
        <v>19</v>
      </c>
      <c r="C1410" s="1" t="s">
        <v>23</v>
      </c>
      <c r="D1410">
        <v>1</v>
      </c>
      <c r="E1410">
        <v>46</v>
      </c>
      <c r="F1410">
        <v>46</v>
      </c>
      <c r="G1410">
        <v>13</v>
      </c>
      <c r="H1410">
        <v>14</v>
      </c>
      <c r="I1410">
        <v>14</v>
      </c>
      <c r="J1410" s="1" t="s">
        <v>15</v>
      </c>
      <c r="K1410">
        <v>1</v>
      </c>
      <c r="L1410">
        <v>0</v>
      </c>
      <c r="M1410" t="str">
        <f>IF(tblPenalties[[#This Row],[total_yards]]=0, "Declined", "Accepted")</f>
        <v>Accepted</v>
      </c>
    </row>
    <row r="1411" spans="1:13" x14ac:dyDescent="0.25">
      <c r="A1411" s="1" t="s">
        <v>177</v>
      </c>
      <c r="B1411" s="1" t="s">
        <v>28</v>
      </c>
      <c r="C1411" s="1" t="s">
        <v>14</v>
      </c>
      <c r="D1411">
        <v>19</v>
      </c>
      <c r="E1411">
        <v>95</v>
      </c>
      <c r="F1411">
        <v>5</v>
      </c>
      <c r="G1411">
        <v>20</v>
      </c>
      <c r="H1411">
        <v>19</v>
      </c>
      <c r="I1411">
        <v>19</v>
      </c>
      <c r="J1411" s="1" t="s">
        <v>15</v>
      </c>
      <c r="K1411">
        <v>1</v>
      </c>
      <c r="L1411">
        <v>0</v>
      </c>
      <c r="M1411" t="str">
        <f>IF(tblPenalties[[#This Row],[total_yards]]=0, "Declined", "Accepted")</f>
        <v>Accepted</v>
      </c>
    </row>
    <row r="1412" spans="1:13" x14ac:dyDescent="0.25">
      <c r="A1412" s="1" t="s">
        <v>177</v>
      </c>
      <c r="B1412" s="1" t="s">
        <v>28</v>
      </c>
      <c r="C1412" s="1" t="s">
        <v>129</v>
      </c>
      <c r="D1412">
        <v>15</v>
      </c>
      <c r="E1412">
        <v>155</v>
      </c>
      <c r="F1412">
        <v>10.33</v>
      </c>
      <c r="G1412">
        <v>20</v>
      </c>
      <c r="H1412">
        <v>19</v>
      </c>
      <c r="I1412">
        <v>19</v>
      </c>
      <c r="J1412" s="1" t="s">
        <v>130</v>
      </c>
      <c r="K1412">
        <v>1</v>
      </c>
      <c r="L1412">
        <v>0</v>
      </c>
      <c r="M1412" t="str">
        <f>IF(tblPenalties[[#This Row],[total_yards]]=0, "Declined", "Accepted")</f>
        <v>Accepted</v>
      </c>
    </row>
    <row r="1413" spans="1:13" x14ac:dyDescent="0.25">
      <c r="A1413" s="1" t="s">
        <v>177</v>
      </c>
      <c r="B1413" s="1" t="s">
        <v>28</v>
      </c>
      <c r="C1413" s="1" t="s">
        <v>112</v>
      </c>
      <c r="D1413">
        <v>11</v>
      </c>
      <c r="E1413">
        <v>114</v>
      </c>
      <c r="F1413">
        <v>10.36</v>
      </c>
      <c r="G1413">
        <v>20</v>
      </c>
      <c r="H1413">
        <v>19</v>
      </c>
      <c r="I1413">
        <v>19</v>
      </c>
      <c r="J1413" s="1" t="s">
        <v>113</v>
      </c>
      <c r="K1413">
        <v>1</v>
      </c>
      <c r="L1413">
        <v>0</v>
      </c>
      <c r="M1413" t="str">
        <f>IF(tblPenalties[[#This Row],[total_yards]]=0, "Declined", "Accepted")</f>
        <v>Accepted</v>
      </c>
    </row>
    <row r="1414" spans="1:13" x14ac:dyDescent="0.25">
      <c r="A1414" s="1" t="s">
        <v>177</v>
      </c>
      <c r="B1414" s="1" t="s">
        <v>28</v>
      </c>
      <c r="C1414" s="1" t="s">
        <v>31</v>
      </c>
      <c r="D1414">
        <v>3</v>
      </c>
      <c r="E1414">
        <v>14</v>
      </c>
      <c r="F1414">
        <v>4.67</v>
      </c>
      <c r="G1414">
        <v>20</v>
      </c>
      <c r="H1414">
        <v>19</v>
      </c>
      <c r="I1414">
        <v>19</v>
      </c>
      <c r="J1414" s="1" t="s">
        <v>15</v>
      </c>
      <c r="K1414">
        <v>1</v>
      </c>
      <c r="L1414">
        <v>0</v>
      </c>
      <c r="M1414" t="str">
        <f>IF(tblPenalties[[#This Row],[total_yards]]=0, "Declined", "Accepted")</f>
        <v>Accepted</v>
      </c>
    </row>
    <row r="1415" spans="1:13" x14ac:dyDescent="0.25">
      <c r="A1415" s="1" t="s">
        <v>177</v>
      </c>
      <c r="B1415" s="1" t="s">
        <v>28</v>
      </c>
      <c r="C1415" s="1" t="s">
        <v>117</v>
      </c>
      <c r="D1415">
        <v>3</v>
      </c>
      <c r="E1415">
        <v>41</v>
      </c>
      <c r="F1415">
        <v>13.67</v>
      </c>
      <c r="G1415">
        <v>20</v>
      </c>
      <c r="H1415">
        <v>19</v>
      </c>
      <c r="I1415">
        <v>19</v>
      </c>
      <c r="J1415" s="1" t="s">
        <v>118</v>
      </c>
      <c r="K1415">
        <v>1</v>
      </c>
      <c r="L1415">
        <v>0</v>
      </c>
      <c r="M1415" t="str">
        <f>IF(tblPenalties[[#This Row],[total_yards]]=0, "Declined", "Accepted")</f>
        <v>Accepted</v>
      </c>
    </row>
    <row r="1416" spans="1:13" x14ac:dyDescent="0.25">
      <c r="A1416" s="1" t="s">
        <v>177</v>
      </c>
      <c r="B1416" s="1" t="s">
        <v>28</v>
      </c>
      <c r="C1416" s="1" t="s">
        <v>115</v>
      </c>
      <c r="D1416">
        <v>3</v>
      </c>
      <c r="E1416">
        <v>70</v>
      </c>
      <c r="F1416">
        <v>23.33</v>
      </c>
      <c r="G1416">
        <v>20</v>
      </c>
      <c r="H1416">
        <v>19</v>
      </c>
      <c r="I1416">
        <v>19</v>
      </c>
      <c r="J1416" s="1" t="s">
        <v>115</v>
      </c>
      <c r="K1416">
        <v>1</v>
      </c>
      <c r="L1416">
        <v>0</v>
      </c>
      <c r="M1416" t="str">
        <f>IF(tblPenalties[[#This Row],[total_yards]]=0, "Declined", "Accepted")</f>
        <v>Accepted</v>
      </c>
    </row>
    <row r="1417" spans="1:13" x14ac:dyDescent="0.25">
      <c r="A1417" s="1" t="s">
        <v>177</v>
      </c>
      <c r="B1417" s="1" t="s">
        <v>28</v>
      </c>
      <c r="C1417" s="1" t="s">
        <v>23</v>
      </c>
      <c r="D1417">
        <v>2</v>
      </c>
      <c r="E1417">
        <v>50</v>
      </c>
      <c r="F1417">
        <v>25</v>
      </c>
      <c r="G1417">
        <v>20</v>
      </c>
      <c r="H1417">
        <v>19</v>
      </c>
      <c r="I1417">
        <v>19</v>
      </c>
      <c r="J1417" s="1" t="s">
        <v>15</v>
      </c>
      <c r="K1417">
        <v>1</v>
      </c>
      <c r="L1417">
        <v>0</v>
      </c>
      <c r="M1417" t="str">
        <f>IF(tblPenalties[[#This Row],[total_yards]]=0, "Declined", "Accepted")</f>
        <v>Accepted</v>
      </c>
    </row>
    <row r="1418" spans="1:13" x14ac:dyDescent="0.25">
      <c r="A1418" s="1" t="s">
        <v>177</v>
      </c>
      <c r="B1418" s="1" t="s">
        <v>28</v>
      </c>
      <c r="C1418" s="1" t="s">
        <v>128</v>
      </c>
      <c r="D1418">
        <v>2</v>
      </c>
      <c r="E1418">
        <v>65</v>
      </c>
      <c r="F1418">
        <v>32.5</v>
      </c>
      <c r="G1418">
        <v>20</v>
      </c>
      <c r="H1418">
        <v>19</v>
      </c>
      <c r="I1418">
        <v>19</v>
      </c>
      <c r="J1418" s="1" t="s">
        <v>115</v>
      </c>
      <c r="K1418">
        <v>1</v>
      </c>
      <c r="L1418">
        <v>0</v>
      </c>
      <c r="M1418" t="str">
        <f>IF(tblPenalties[[#This Row],[total_yards]]=0, "Declined", "Accepted")</f>
        <v>Accepted</v>
      </c>
    </row>
    <row r="1419" spans="1:13" x14ac:dyDescent="0.25">
      <c r="A1419" s="1" t="s">
        <v>177</v>
      </c>
      <c r="B1419" s="1" t="s">
        <v>28</v>
      </c>
      <c r="C1419" s="1" t="s">
        <v>22</v>
      </c>
      <c r="D1419">
        <v>1</v>
      </c>
      <c r="E1419">
        <v>5</v>
      </c>
      <c r="F1419">
        <v>5</v>
      </c>
      <c r="G1419">
        <v>20</v>
      </c>
      <c r="H1419">
        <v>19</v>
      </c>
      <c r="I1419">
        <v>19</v>
      </c>
      <c r="J1419" s="1" t="s">
        <v>15</v>
      </c>
      <c r="K1419">
        <v>1</v>
      </c>
      <c r="L1419">
        <v>0</v>
      </c>
      <c r="M1419" t="str">
        <f>IF(tblPenalties[[#This Row],[total_yards]]=0, "Declined", "Accepted")</f>
        <v>Accepted</v>
      </c>
    </row>
    <row r="1420" spans="1:13" x14ac:dyDescent="0.25">
      <c r="A1420" s="1" t="s">
        <v>177</v>
      </c>
      <c r="B1420" s="1" t="s">
        <v>28</v>
      </c>
      <c r="C1420" s="1" t="s">
        <v>125</v>
      </c>
      <c r="D1420">
        <v>1</v>
      </c>
      <c r="E1420">
        <v>15</v>
      </c>
      <c r="F1420">
        <v>15</v>
      </c>
      <c r="G1420">
        <v>20</v>
      </c>
      <c r="H1420">
        <v>19</v>
      </c>
      <c r="I1420">
        <v>19</v>
      </c>
      <c r="J1420" s="1" t="s">
        <v>115</v>
      </c>
      <c r="K1420">
        <v>1</v>
      </c>
      <c r="L1420">
        <v>0</v>
      </c>
      <c r="M1420" t="str">
        <f>IF(tblPenalties[[#This Row],[total_yards]]=0, "Declined", "Accepted")</f>
        <v>Accepted</v>
      </c>
    </row>
    <row r="1421" spans="1:13" x14ac:dyDescent="0.25">
      <c r="A1421" s="1" t="s">
        <v>177</v>
      </c>
      <c r="B1421" s="1" t="s">
        <v>28</v>
      </c>
      <c r="C1421" s="1" t="s">
        <v>114</v>
      </c>
      <c r="D1421">
        <v>1</v>
      </c>
      <c r="E1421">
        <v>15</v>
      </c>
      <c r="F1421">
        <v>15</v>
      </c>
      <c r="G1421">
        <v>20</v>
      </c>
      <c r="H1421">
        <v>19</v>
      </c>
      <c r="I1421">
        <v>19</v>
      </c>
      <c r="J1421" s="1" t="s">
        <v>115</v>
      </c>
      <c r="K1421">
        <v>1</v>
      </c>
      <c r="L1421">
        <v>0</v>
      </c>
      <c r="M1421" t="str">
        <f>IF(tblPenalties[[#This Row],[total_yards]]=0, "Declined", "Accepted")</f>
        <v>Accepted</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03DC9-A899-4D17-AB3C-175BF00421EF}">
  <dimension ref="A1"/>
  <sheetViews>
    <sheetView workbookViewId="0">
      <selection activeCell="R8" sqref="R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003D95-6EF9-4680-9E4B-EFDFB1B81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Pivot_Category_by_Conf</vt:lpstr>
      <vt:lpstr>Defensive Holding Advantage</vt:lpstr>
      <vt:lpstr>penalties_2025_FBS_with_ranking</vt:lpstr>
      <vt:lpstr>Dashboard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Environmental Chimney</dc:creator>
  <cp:lastModifiedBy>Environmental Chimney</cp:lastModifiedBy>
  <dcterms:created xsi:type="dcterms:W3CDTF">2025-11-13T16:30:25Z</dcterms:created>
  <dcterms:modified xsi:type="dcterms:W3CDTF">2025-11-13T20:27:36Z</dcterms:modified>
</cp:coreProperties>
</file>